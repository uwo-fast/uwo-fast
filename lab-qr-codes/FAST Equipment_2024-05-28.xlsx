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C:\Users\Cameron\repos\FAST-lab-spaces\QR-codes\"/>
    </mc:Choice>
  </mc:AlternateContent>
  <xr:revisionPtr revIDLastSave="0" documentId="8_{2C96CCC7-02B6-4BE2-9DA1-9E3D0EE1BF6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EADME" sheetId="12" r:id="rId1"/>
    <sheet name="FFF Printers" sheetId="1" r:id="rId2"/>
    <sheet name="VPP Printers" sheetId="9" r:id="rId3"/>
    <sheet name="FPF Printers" sheetId="8" r:id="rId4"/>
    <sheet name="Hand Tools" sheetId="7" r:id="rId5"/>
    <sheet name="Stationary Tool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" i="1"/>
  <c r="O2" i="1"/>
  <c r="O21" i="1"/>
  <c r="O22" i="1"/>
  <c r="O2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</calcChain>
</file>

<file path=xl/sharedStrings.xml><?xml version="1.0" encoding="utf-8"?>
<sst xmlns="http://schemas.openxmlformats.org/spreadsheetml/2006/main" count="395" uniqueCount="186">
  <si>
    <t>Item</t>
  </si>
  <si>
    <t>Description</t>
  </si>
  <si>
    <t>Notes</t>
  </si>
  <si>
    <t>ID</t>
  </si>
  <si>
    <t>A unique identifier for each machine.</t>
  </si>
  <si>
    <t>Machine Name</t>
  </si>
  <si>
    <t>The common name or nickname of the machine.</t>
  </si>
  <si>
    <t>Make</t>
  </si>
  <si>
    <t>The manufacturer of the machine.</t>
  </si>
  <si>
    <t>Model</t>
  </si>
  <si>
    <t>The model number or name.</t>
  </si>
  <si>
    <t>Specifications</t>
  </si>
  <si>
    <t>Detailed specifications of the machine.</t>
  </si>
  <si>
    <t>For printers this would be build size, layer resolution, speed, etc.</t>
  </si>
  <si>
    <t>Current Equipment</t>
  </si>
  <si>
    <t>List of attachments or tools currently equipped with the machine.</t>
  </si>
  <si>
    <t>For printers this would be toolhead(s), nozzle, bed and any changes to the stock machine.</t>
  </si>
  <si>
    <t>State of Repair</t>
  </si>
  <si>
    <t>The current maintenance status of the machine. Options: Good, Needs Maintenance, Missing, Broken, Unknown.</t>
  </si>
  <si>
    <t>Access Level</t>
  </si>
  <si>
    <t>The level of access required to use the machine. Options: Specialty (specific training required), Restricted (contact the person if you wish to use it), General (use if available, contact assigned user if it needs repair/equipment change).</t>
  </si>
  <si>
    <t>If unsure always ask.</t>
  </si>
  <si>
    <t>Assigned User(s)</t>
  </si>
  <si>
    <t>The individual currently responsible for or assigned to the machine.</t>
  </si>
  <si>
    <t>Any additional relevant information commenting on items in the table.</t>
  </si>
  <si>
    <t>Log</t>
  </si>
  <si>
    <r>
      <t xml:space="preserve">Notes, maintainance history, useful links, machine specific notes, etc. </t>
    </r>
    <r>
      <rPr>
        <i/>
        <sz val="11"/>
        <color theme="1"/>
        <rFont val="Aptos Narrow"/>
        <family val="2"/>
        <scheme val="minor"/>
      </rPr>
      <t>Stored in the FAST OneDrive "Equipment Assets" folder.</t>
    </r>
  </si>
  <si>
    <r>
      <t xml:space="preserve">Use naming convention </t>
    </r>
    <r>
      <rPr>
        <i/>
        <sz val="11"/>
        <color theme="1"/>
        <rFont val="Aptos Narrow"/>
        <family val="2"/>
        <scheme val="minor"/>
      </rPr>
      <t>Make_Model_ID_rest-of-name.</t>
    </r>
  </si>
  <si>
    <t>Manual</t>
  </si>
  <si>
    <r>
      <t xml:space="preserve">Link to the machine’s manual. </t>
    </r>
    <r>
      <rPr>
        <i/>
        <sz val="11"/>
        <color theme="1"/>
        <rFont val="Aptos Narrow"/>
        <family val="2"/>
        <scheme val="minor"/>
      </rPr>
      <t>Stored in the FAST OneDrive "Equipment Assets" folder.</t>
    </r>
  </si>
  <si>
    <t>Firmware</t>
  </si>
  <si>
    <r>
      <t xml:space="preserve">The firmware file installed on the machine, if applicable. </t>
    </r>
    <r>
      <rPr>
        <i/>
        <sz val="11"/>
        <color theme="1"/>
        <rFont val="Aptos Narrow"/>
        <family val="2"/>
        <scheme val="minor"/>
      </rPr>
      <t>Stored in the FAST OneDrive "Equipment Assets" folder.</t>
    </r>
  </si>
  <si>
    <t>Equipment Assets Folder:</t>
  </si>
  <si>
    <t>uwoca.sharepoint.com/:f:/r/sites/fast/Shared%20Documents/Equipment%20Assets</t>
  </si>
  <si>
    <t>F1</t>
  </si>
  <si>
    <t>High Temp Prusa</t>
  </si>
  <si>
    <t>Prusa</t>
  </si>
  <si>
    <t>i3 MK3S+</t>
  </si>
  <si>
    <t xml:space="preserve">Nozzle: 0.6mm Revo, Heatblock: 40W Revo; </t>
  </si>
  <si>
    <t>Good</t>
  </si>
  <si>
    <t>Restricted</t>
  </si>
  <si>
    <t>Janik Abdullayev</t>
  </si>
  <si>
    <t>https://uwoca.sharepoint.com/:w:/r/sites/fast/Shared%20Documents/Equipment%20Assets/Prusa_i3%20MK3S+_F1_LOG.docx?d=w172faa0d22664fdc95d0de0ccaeb5d64&amp;csf=1&amp;web=1&amp;e=68g9v6</t>
  </si>
  <si>
    <t>Fill</t>
  </si>
  <si>
    <t>F2</t>
  </si>
  <si>
    <t>Filled Filament Prusa</t>
  </si>
  <si>
    <t>Maryam Mottaghi</t>
  </si>
  <si>
    <t>Reflash firmware, check heater pwr</t>
  </si>
  <si>
    <t>https://uwoca.sharepoint.com/:w:/r/sites/fast/Shared%20Documents/Equipment%20Assets/Prusa_i3%20MK3S+_F2_LOG.docx?d=w7d15ab0e4a99406992c772c88d6b5658&amp;csf=1&amp;web=1&amp;e=Iac92D</t>
  </si>
  <si>
    <t>F3</t>
  </si>
  <si>
    <t>High Speed Prusa</t>
  </si>
  <si>
    <t>Needs Maintainance</t>
  </si>
  <si>
    <t>Troy Leishman</t>
  </si>
  <si>
    <t>Clear thermal error</t>
  </si>
  <si>
    <t>https://uwoca.sharepoint.com/:w:/r/sites/fast/Shared%20Documents/Equipment%20Assets/Prusa_i3%20MK3S+_F3_LOG.docx?d=w2c3cea7840f9461da195349e4c6933ab&amp;csf=1&amp;web=1&amp;e=aZlLcJ</t>
  </si>
  <si>
    <t>F4</t>
  </si>
  <si>
    <t>Load Cell Prusa</t>
  </si>
  <si>
    <t>Missing</t>
  </si>
  <si>
    <t>Victor Zhang</t>
  </si>
  <si>
    <t>Needs to return it to lab in Fall</t>
  </si>
  <si>
    <t>https://uwoca.sharepoint.com/:w:/r/sites/fast/Shared%20Documents/Equipment%20Assets/Prusa_i3%20MK3S+_F4_LOG.docx?d=wd456fc3bb3264549b2d19b1b4933c909&amp;csf=1&amp;web=1&amp;e=3S2NuZ</t>
  </si>
  <si>
    <t>F5</t>
  </si>
  <si>
    <t>MK4</t>
  </si>
  <si>
    <t>Broken</t>
  </si>
  <si>
    <t>Cameron Brooks</t>
  </si>
  <si>
    <t>Needs new motherboard</t>
  </si>
  <si>
    <t>https://uwoca.sharepoint.com/:w:/r/sites/fast/Shared%20Documents/Equipment%20Assets/Prusa_MK4_F5_LOG.docx?d=wa30071a74ddd4b24b3b920586eb3cf24&amp;csf=1&amp;web=1&amp;e=yK7X4L</t>
  </si>
  <si>
    <t>F6</t>
  </si>
  <si>
    <t>XL 5TH Prusa</t>
  </si>
  <si>
    <t>XL Five-Toolhead</t>
  </si>
  <si>
    <t>Specialty</t>
  </si>
  <si>
    <t>https://uwoca.sharepoint.com/:w:/r/sites/fast/Shared%20Documents/Equipment%20Assets/Prusa_XL%20Five-Toolhead_F6_LOG.docx?d=w83fa9a9c08714a298cb5bc5a59c8707f&amp;csf=1&amp;web=1&amp;e=4IEii9</t>
  </si>
  <si>
    <t>F7</t>
  </si>
  <si>
    <t>METER Modix</t>
  </si>
  <si>
    <t xml:space="preserve">Modix </t>
  </si>
  <si>
    <t>Modix BIG-Meter</t>
  </si>
  <si>
    <t>https://uwoca.sharepoint.com/:w:/r/sites/fast/Shared%20Documents/Equipment%20Assets/Modix%20_Modix%20BIG-Meter_F7_LOG.docx?d=w29f0c49da5d449f4b1a6501ec485de87&amp;csf=1&amp;web=1&amp;e=CT7ddO</t>
  </si>
  <si>
    <t>F8</t>
  </si>
  <si>
    <t>120Z Modix</t>
  </si>
  <si>
    <t>Modix</t>
  </si>
  <si>
    <t>Modix BIG-120Z</t>
  </si>
  <si>
    <t>https://uwoca.sharepoint.com/:w:/r/sites/fast/Shared%20Documents/Equipment%20Assets/Modix_Modix%20BIG-120Z_F8_LOG.docx?d=w25a3b96b8fdd48b5af744ed3270ea6f9&amp;csf=1&amp;web=1&amp;e=QBJSrZ</t>
  </si>
  <si>
    <t>F9</t>
  </si>
  <si>
    <t>Workhorse A</t>
  </si>
  <si>
    <t>Lulzbot</t>
  </si>
  <si>
    <t>Taz Workhorse SE</t>
  </si>
  <si>
    <t>Nozzle: 0.5mm</t>
  </si>
  <si>
    <t>General</t>
  </si>
  <si>
    <t>Ian Van den Steen</t>
  </si>
  <si>
    <t>Y axis overtension / skew</t>
  </si>
  <si>
    <t>https://uwoca.sharepoint.com/:w:/r/sites/fast/Shared%20Documents/Equipment%20Assets/Lulzbot_Taz%20Workhorse%20SE_F9_LOG.docx?d=w8674be68d1d042a5b511be18b3185c46&amp;csf=1&amp;web=1&amp;e=0EgMPF</t>
  </si>
  <si>
    <t>F10</t>
  </si>
  <si>
    <t>Workhorse B</t>
  </si>
  <si>
    <t>Nozzle: 0.8mm M175</t>
  </si>
  <si>
    <t>Dawei Liu</t>
  </si>
  <si>
    <t>https://uwoca.sharepoint.com/:w:/r/sites/fast/Shared%20Documents/Equipment%20Assets/Lulzbot_Taz%20Workhorse%20SE_F10_LOG.docx?d=w782ac61cefec48168f01d62a0bac42f5&amp;csf=1&amp;web=1&amp;e=3qlgQV</t>
  </si>
  <si>
    <t>F11</t>
  </si>
  <si>
    <t>Pro A</t>
  </si>
  <si>
    <t>Taz Pro</t>
  </si>
  <si>
    <t>Joshua Givans</t>
  </si>
  <si>
    <t>Probing error</t>
  </si>
  <si>
    <t>https://uwoca.sharepoint.com/:w:/r/sites/fast/Shared%20Documents/Equipment%20Assets/Lulzbot_Taz%20Pro_F11_LOG.docx?d=w6e3d400e3e934ffcb61d606c82dc09d1&amp;csf=1&amp;web=1&amp;e=il6RAs</t>
  </si>
  <si>
    <t>F12</t>
  </si>
  <si>
    <t>Workhorse C</t>
  </si>
  <si>
    <t>Max Qian</t>
  </si>
  <si>
    <t>Layer shift, Y axis overtension / skew</t>
  </si>
  <si>
    <t>https://uwoca.sharepoint.com/:w:/r/sites/fast/Shared%20Documents/Equipment%20Assets/Lulzbot_Taz%20Workhorse%20SE_F12_LOG.docx?d=w53f1e033cf0645e48861a36a7ca09daf&amp;csf=1&amp;web=1&amp;e=adb7F5</t>
  </si>
  <si>
    <t>F13</t>
  </si>
  <si>
    <t>T6A</t>
  </si>
  <si>
    <t>Taz 6</t>
  </si>
  <si>
    <t>Unknown</t>
  </si>
  <si>
    <t>Justin Zheng</t>
  </si>
  <si>
    <t>https://uwoca.sharepoint.com/:w:/r/sites/fast/Shared%20Documents/Equipment%20Assets/Lulzbot_Taz%206_F13_LOG.docx?d=we9f322e1c5414a1c820f81c43566c707&amp;csf=1&amp;web=1&amp;e=zHCN2g</t>
  </si>
  <si>
    <t>F14</t>
  </si>
  <si>
    <t>T6B</t>
  </si>
  <si>
    <t>Liam Freeman</t>
  </si>
  <si>
    <t>https://uwoca.sharepoint.com/:w:/r/sites/fast/Shared%20Documents/Equipment%20Assets/Lulzbot_Taz%206_F14_LOG.docx?d=wdd76cd4d870540149d874f98b3dc2aa2&amp;csf=1&amp;web=1&amp;e=BW3IwX</t>
  </si>
  <si>
    <t>F15</t>
  </si>
  <si>
    <t>Flex Sidekick</t>
  </si>
  <si>
    <t>Sidekick</t>
  </si>
  <si>
    <t>https://uwoca.sharepoint.com/:w:/r/sites/fast/Shared%20Documents/Equipment%20Assets/Lulzbot_Sidekick_F15_LOG.docx?d=w11835b38d11943e795229be1e8201c3b&amp;csf=1&amp;web=1&amp;e=yhpgzv</t>
  </si>
  <si>
    <t>F16</t>
  </si>
  <si>
    <t>Belt</t>
  </si>
  <si>
    <t>Creality</t>
  </si>
  <si>
    <t>CR-30</t>
  </si>
  <si>
    <t>https://uwoca.sharepoint.com/:w:/r/sites/fast/Shared%20Documents/Equipment%20Assets/Creality_CR-30_F16_LOG.docx?d=w6a23154051304d918d6663567fc6c6ef&amp;csf=1&amp;web=1&amp;e=JpAjpU</t>
  </si>
  <si>
    <t>F17</t>
  </si>
  <si>
    <t>CCF Printer</t>
  </si>
  <si>
    <t>Pulstruder</t>
  </si>
  <si>
    <t>https://uwoca.sharepoint.com/:w:/r/sites/fast/Shared%20Documents/Equipment%20Assets/Creality_Pulstruder_F17_LOG.docx?d=w2c656be176d04b3581cf30751700be64&amp;csf=1&amp;web=1&amp;e=V3Jmfj</t>
  </si>
  <si>
    <t>F18</t>
  </si>
  <si>
    <t>Old Mystery Ender</t>
  </si>
  <si>
    <t>Ender</t>
  </si>
  <si>
    <t>Needs to be picked up in Fall</t>
  </si>
  <si>
    <t>https://uwoca.sharepoint.com/:w:/r/sites/fast/Shared%20Documents/Equipment%20Assets/Ender_3_F18_LOG.docx?d=w0a4b2a5127844cf6892f159908551e6c&amp;csf=1&amp;web=1&amp;e=gNnq1L</t>
  </si>
  <si>
    <t>F19</t>
  </si>
  <si>
    <t>Delta</t>
  </si>
  <si>
    <t>DIY</t>
  </si>
  <si>
    <t>RepRap Delta</t>
  </si>
  <si>
    <t>None</t>
  </si>
  <si>
    <t>Needs reassembly and lots of TLC- originally Alex's - use Appropedia</t>
  </si>
  <si>
    <t>https://uwoca.sharepoint.com/:w:/r/sites/fast/Shared%20Documents/Equipment%20Assets/DIY_RepRap%20Delta_F19_LOG.docx?d=w30bd3438fc56494b96e7ca6a7fcd5c50&amp;csf=1&amp;web=1&amp;e=5y0Bo0</t>
  </si>
  <si>
    <t>F20</t>
  </si>
  <si>
    <t>ICFAR Pro Dual</t>
  </si>
  <si>
    <t>Taz Pro Dual Extruder</t>
  </si>
  <si>
    <t>https://uwoca.sharepoint.com/:w:/r/sites/fast/Shared%20Documents/Equipment%20Assets/Lulzbot_Taz%20Pro%20Dual%20Extruder_F20_LOG.docx?d=w1f99dc2d1804490184a1f79e9b8e6343&amp;csf=1&amp;web=1&amp;e=kfHuF4</t>
  </si>
  <si>
    <t>F21</t>
  </si>
  <si>
    <t>ICFAR Pro</t>
  </si>
  <si>
    <t>Taz Pro S</t>
  </si>
  <si>
    <t>https://uwoca.sharepoint.com/:w:/r/sites/fast/Shared%20Documents/Equipment%20Assets/Lulzbot_Taz%20Pro%20S_F21_LOG.docx?d=wc76403358f0f446291cf8dcd496e37cc&amp;csf=1&amp;web=1&amp;e=LYfNG3</t>
  </si>
  <si>
    <t>F22</t>
  </si>
  <si>
    <t>Hangprinter v4</t>
  </si>
  <si>
    <t>Hangprinter</t>
  </si>
  <si>
    <t>Version 4</t>
  </si>
  <si>
    <t>Janik Abdullayev, Troy Leishman, Ravneet Rattan</t>
  </si>
  <si>
    <t>https://uwoca.sharepoint.com/:w:/r/sites/fast/Shared%20Documents/Equipment%20Assets/Hangprinter_Version%204_F22_LOG.docx?d=w9122e08ab71d4488acf7ef78c3c5c6be&amp;csf=1&amp;web=1&amp;e=kMMLED</t>
  </si>
  <si>
    <t>V1</t>
  </si>
  <si>
    <t>Resin Prusa</t>
  </si>
  <si>
    <t>SL1S Speed</t>
  </si>
  <si>
    <t>V2</t>
  </si>
  <si>
    <t>V3</t>
  </si>
  <si>
    <t>Dry Cure Prusa</t>
  </si>
  <si>
    <t>CW1/S</t>
  </si>
  <si>
    <t>V4</t>
  </si>
  <si>
    <t>P1</t>
  </si>
  <si>
    <t>Gigabot</t>
  </si>
  <si>
    <t>P2</t>
  </si>
  <si>
    <t>Ender Fluid Printer</t>
  </si>
  <si>
    <t>HP1</t>
  </si>
  <si>
    <t>Smooth Operator</t>
  </si>
  <si>
    <t>v4</t>
  </si>
  <si>
    <t>appropedia</t>
  </si>
  <si>
    <t>H1</t>
  </si>
  <si>
    <t>N/A</t>
  </si>
  <si>
    <t>H2</t>
  </si>
  <si>
    <t>H3</t>
  </si>
  <si>
    <t>H4</t>
  </si>
  <si>
    <t>H5</t>
  </si>
  <si>
    <t>S1</t>
  </si>
  <si>
    <t>S2</t>
  </si>
  <si>
    <t>S3</t>
  </si>
  <si>
    <t>S4</t>
  </si>
  <si>
    <t>S5</t>
  </si>
  <si>
    <t>Log Name</t>
  </si>
  <si>
    <t>QR Code Label</t>
  </si>
  <si>
    <t>Assigned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</si>
</sst>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1" applyFont="1"/>
    <xf numFmtId="0" fontId="4" fillId="0" borderId="0" xfId="1"/>
  </cellXfs>
  <cellStyles count="2">
    <cellStyle name="Hyperlink" xfId="1" builtinId="8"/>
    <cellStyle name="Normal" xfId="0" builtinId="0"/>
  </cellStyles>
  <dxfs count="47">
    <dxf>
      <fill>
        <patternFill>
          <bgColor rgb="FFFC6D09"/>
        </patternFill>
      </fill>
    </dxf>
    <dxf>
      <fill>
        <patternFill>
          <bgColor rgb="FFFF0000"/>
        </patternFill>
      </fill>
    </dxf>
    <dxf>
      <fill>
        <patternFill>
          <bgColor rgb="FFC1D82F"/>
        </patternFill>
      </fill>
    </dxf>
    <dxf>
      <fill>
        <patternFill>
          <bgColor rgb="FFD96D6D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C6D09"/>
        </patternFill>
      </fill>
    </dxf>
    <dxf>
      <fill>
        <patternFill>
          <bgColor rgb="FFFF0000"/>
        </patternFill>
      </fill>
    </dxf>
    <dxf>
      <fill>
        <patternFill>
          <bgColor rgb="FFC1D82F"/>
        </patternFill>
      </fill>
    </dxf>
    <dxf>
      <fill>
        <patternFill>
          <bgColor rgb="FFD96D6D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C6D09"/>
        </patternFill>
      </fill>
    </dxf>
    <dxf>
      <fill>
        <patternFill>
          <bgColor rgb="FFFF0000"/>
        </patternFill>
      </fill>
    </dxf>
    <dxf>
      <fill>
        <patternFill>
          <bgColor rgb="FFC1D82F"/>
        </patternFill>
      </fill>
    </dxf>
    <dxf>
      <fill>
        <patternFill>
          <bgColor rgb="FFD96D6D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C6D09"/>
        </patternFill>
      </fill>
    </dxf>
    <dxf>
      <fill>
        <patternFill>
          <bgColor rgb="FFFF0000"/>
        </patternFill>
      </fill>
    </dxf>
    <dxf>
      <fill>
        <patternFill>
          <bgColor rgb="FFC1D82F"/>
        </patternFill>
      </fill>
    </dxf>
    <dxf>
      <fill>
        <patternFill>
          <bgColor rgb="FFD96D6D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rgb="FFFC6D09"/>
        </patternFill>
      </fill>
    </dxf>
    <dxf>
      <fill>
        <patternFill>
          <bgColor rgb="FFFF0000"/>
        </patternFill>
      </fill>
    </dxf>
    <dxf>
      <fill>
        <patternFill>
          <bgColor rgb="FFC1D82F"/>
        </patternFill>
      </fill>
    </dxf>
    <dxf>
      <fill>
        <patternFill>
          <bgColor rgb="FFD96D6D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colors>
    <mruColors>
      <color rgb="FFFC6D09"/>
      <color rgb="FFC1D82F"/>
      <color rgb="FF00B140"/>
      <color rgb="FFFF6600"/>
      <color rgb="FFD9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CD83E4-D18B-4471-88B4-14B3195888BC}" name="Table7" displayName="Table7" ref="A1:C14" totalsRowShown="0">
  <autoFilter ref="A1:C14" xr:uid="{E9CD83E4-D18B-4471-88B4-14B3195888BC}"/>
  <tableColumns count="3">
    <tableColumn id="1" xr3:uid="{C31076CC-EDFF-4668-832B-3B62B9A80E46}" name="Item"/>
    <tableColumn id="2" xr3:uid="{62E591CF-92E6-4086-AD68-E858A372D849}" name="Description" dataDxfId="46"/>
    <tableColumn id="3" xr3:uid="{0B8C9311-888A-471F-9D55-7AE89CBAB9D5}" name="Notes" dataDxfId="4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1E0FA-FD40-4114-A70E-AA3A2972F9AC}" name="Table1" displayName="Table1" ref="A1:M1048576" totalsRowShown="0" headerRowDxfId="44">
  <autoFilter ref="A1:M1048576" xr:uid="{E311E0FA-FD40-4114-A70E-AA3A2972F9AC}"/>
  <tableColumns count="13">
    <tableColumn id="1" xr3:uid="{C53575DA-F8E3-475A-AFA6-9FE5AECF984E}" name="ID"/>
    <tableColumn id="2" xr3:uid="{BF3A76D9-6BD5-4230-8042-1A8597C60E03}" name="Machine Name"/>
    <tableColumn id="3" xr3:uid="{FE8C501D-7E3C-474E-829A-F1173D2082A2}" name="Make"/>
    <tableColumn id="4" xr3:uid="{1115657C-511C-4095-AE05-FC38A19F610E}" name="Model"/>
    <tableColumn id="5" xr3:uid="{6DAD2F4A-6E76-413A-9F7D-538BCB357380}" name="Specifications"/>
    <tableColumn id="6" xr3:uid="{51BF1235-B6E7-459B-B63A-CCAA80B698A8}" name="Current Equipment"/>
    <tableColumn id="7" xr3:uid="{8605D5DF-73FC-4BA4-9CA3-4F4A92C4C4C5}" name="State of Repair"/>
    <tableColumn id="8" xr3:uid="{8D956F01-D0BA-4492-AA0B-244D051C96D5}" name="Access Level"/>
    <tableColumn id="9" xr3:uid="{2AA1EAEF-D6AE-49C8-A284-783E3EF0BF34}" name="Assigned User"/>
    <tableColumn id="10" xr3:uid="{455016BB-5AEC-435A-800E-40892B7A7604}" name="Notes"/>
    <tableColumn id="11" xr3:uid="{5DCE7ECC-185D-492A-BAE0-A33B7F4E88EE}" name="Log"/>
    <tableColumn id="12" xr3:uid="{BA14AFA5-CD48-443F-9A18-4C95AE5F06AD}" name="Manual"/>
    <tableColumn id="13" xr3:uid="{1AE99DA2-2D99-4404-BB1B-E9BA6854291C}" name="Firmware"/>
  </tableColumns>
  <tableStyleInfo name="TableStyleMedium1"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1D1E6C-6C80-46A3-85D9-E39BCBF678CE}" name="Table15" displayName="Table15" ref="A1:M1048576" totalsRowShown="0" headerRowDxfId="43">
  <autoFilter ref="A1:M1048576" xr:uid="{E311E0FA-FD40-4114-A70E-AA3A2972F9AC}"/>
  <tableColumns count="13">
    <tableColumn id="1" xr3:uid="{D2AFCAC8-5208-4CCE-993F-BF0BE0C38B78}" name="ID"/>
    <tableColumn id="2" xr3:uid="{9CC2249A-75FD-4E40-ACB7-F5EA6A9FC38C}" name="Machine Name"/>
    <tableColumn id="3" xr3:uid="{8C32FCA0-ADF7-4F6D-9817-4B926E7D5905}" name="Make"/>
    <tableColumn id="4" xr3:uid="{9C3AF763-9635-40B3-925D-D65F213DD5C1}" name="Model"/>
    <tableColumn id="5" xr3:uid="{4A7CCB87-EC18-407B-BCC2-9003086E840C}" name="Specifications"/>
    <tableColumn id="6" xr3:uid="{BFF215B6-6C65-4A2F-9CA8-78993899036D}" name="Current Equipment"/>
    <tableColumn id="7" xr3:uid="{F0DDFE82-2640-4674-B00C-2AAE1ECE8690}" name="State of Repair"/>
    <tableColumn id="8" xr3:uid="{3D19FD90-65D6-40EC-AC58-747C44800C94}" name="Access Level"/>
    <tableColumn id="9" xr3:uid="{0C748EFB-5F3E-4848-8109-058673954324}" name="Assigned User(s)"/>
    <tableColumn id="10" xr3:uid="{0C42BC2D-4FB9-4612-9E34-0E89B51BD986}" name="Notes"/>
    <tableColumn id="11" xr3:uid="{7C601BAB-79DE-44C8-A046-ECF0E40718D4}" name="Log"/>
    <tableColumn id="12" xr3:uid="{70100FBF-1990-441B-8A43-D30C890F1680}" name="Manual"/>
    <tableColumn id="13" xr3:uid="{80254B6E-A5B6-464F-A6F9-6BBDE9633006}" name="Firmware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9A1DAC-FA3D-4A7C-ACFB-42A2146C71A2}" name="Table14" displayName="Table14" ref="A1:M1048576" totalsRowShown="0" headerRowDxfId="42">
  <autoFilter ref="A1:M1048576" xr:uid="{E311E0FA-FD40-4114-A70E-AA3A2972F9AC}"/>
  <tableColumns count="13">
    <tableColumn id="1" xr3:uid="{B67833CD-090E-46BC-A628-3C548005F7A5}" name="ID"/>
    <tableColumn id="2" xr3:uid="{E97A593F-EA20-4211-A68D-8323FEBAF0E8}" name="Machine Name"/>
    <tableColumn id="3" xr3:uid="{9D834942-93F4-4BB7-89AF-A993492E68A4}" name="Make"/>
    <tableColumn id="4" xr3:uid="{6CD2EC1D-5C40-4359-9C8F-A449E9860C47}" name="Model"/>
    <tableColumn id="5" xr3:uid="{DB5D4551-A686-4907-AE58-551A971EA356}" name="Specifications"/>
    <tableColumn id="6" xr3:uid="{B0800F8C-BD04-4A11-9E67-A86FDB0CA117}" name="Current Equipment"/>
    <tableColumn id="7" xr3:uid="{2EBBC0F8-B995-454E-B3C6-BC091FDB5A92}" name="State of Repair"/>
    <tableColumn id="8" xr3:uid="{F130D0EE-62CF-4EB1-B767-69F00B34AD0B}" name="Access Level"/>
    <tableColumn id="9" xr3:uid="{D10B5BBE-3970-43F1-886C-487D8CB9B7CA}" name="Assigned User(s)"/>
    <tableColumn id="10" xr3:uid="{034E2E5C-4B6B-4DFD-8A20-1AE3EDABAA30}" name="Notes"/>
    <tableColumn id="11" xr3:uid="{EF518EB3-4222-48E9-ADC9-86574FA2DA2F}" name="Log"/>
    <tableColumn id="12" xr3:uid="{C5BA69BD-35E0-4BCB-959C-FEA3A5C7993A}" name="Manual"/>
    <tableColumn id="13" xr3:uid="{43143350-36EB-4FCD-A15D-D8239B941417}" name="Firmware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2FE7FB-3537-41A8-8356-CD90437171A8}" name="Table13" displayName="Table13" ref="A1:M1048576" totalsRowShown="0" headerRowDxfId="41">
  <autoFilter ref="A1:M1048576" xr:uid="{E311E0FA-FD40-4114-A70E-AA3A2972F9AC}"/>
  <tableColumns count="13">
    <tableColumn id="1" xr3:uid="{34C6725A-01A5-4DD8-B38F-2DFA93B33FDA}" name="ID"/>
    <tableColumn id="2" xr3:uid="{1C44BE48-80F1-4154-B8EC-10F22771D0E7}" name="Machine Name"/>
    <tableColumn id="3" xr3:uid="{E83EC741-055C-487B-91DD-FACFB1770BDB}" name="Make"/>
    <tableColumn id="4" xr3:uid="{254A3C53-8757-4F41-AD2E-98B2A60E963C}" name="Model"/>
    <tableColumn id="5" xr3:uid="{2421557C-2D6D-471D-8897-BA2816AC61DE}" name="Specifications"/>
    <tableColumn id="6" xr3:uid="{F2DB9889-9C51-4478-8516-D6B77C3378FF}" name="Current Equipment"/>
    <tableColumn id="7" xr3:uid="{5BFEBBAA-16B6-4B9E-971C-5BF4133E0557}" name="State of Repair"/>
    <tableColumn id="8" xr3:uid="{A9F6C6D4-CA3C-4FEC-AB16-D848F3334F3A}" name="Access Level"/>
    <tableColumn id="9" xr3:uid="{0E0F6457-8D48-48B7-BDF5-5EDB89904840}" name="Assigned User(s)"/>
    <tableColumn id="10" xr3:uid="{DE2C8383-A2CD-42C8-8554-1D92748802DB}" name="Notes"/>
    <tableColumn id="11" xr3:uid="{76CD0272-89F5-4FC2-B97B-F933F01A879C}" name="Log"/>
    <tableColumn id="12" xr3:uid="{CAD18A38-24F2-46AA-895D-7EDC11E18A67}" name="Manual"/>
    <tableColumn id="13" xr3:uid="{A3620AEC-F772-4E94-B4DF-F409F0CF836D}" name="Firmwar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1046A58-B0B0-4A60-BFC6-ABD50A56E84F}" name="Table136" displayName="Table136" ref="A1:M1048576" totalsRowShown="0" headerRowDxfId="40">
  <autoFilter ref="A1:M1048576" xr:uid="{E311E0FA-FD40-4114-A70E-AA3A2972F9AC}"/>
  <tableColumns count="13">
    <tableColumn id="1" xr3:uid="{0C474DC5-7F8D-4277-AB90-25C10767E2E3}" name="ID"/>
    <tableColumn id="2" xr3:uid="{5DC2431F-9589-4A97-BEDF-13EBD1DEAEBF}" name="Machine Name"/>
    <tableColumn id="3" xr3:uid="{DA59A583-EDE6-47D1-9D04-50B0CDE438EF}" name="Make"/>
    <tableColumn id="4" xr3:uid="{1E7D5D48-3FF8-4889-8A6C-1763DED7CC0E}" name="Model"/>
    <tableColumn id="5" xr3:uid="{080377FB-EBC7-4A1A-95E2-91AC44B15CB7}" name="Specifications"/>
    <tableColumn id="6" xr3:uid="{25ACD264-6AAA-4C8E-AA02-B058ABBF0F89}" name="Current Equipment"/>
    <tableColumn id="7" xr3:uid="{5E77C6F9-C198-4318-9C6D-7C2BA081F08C}" name="State of Repair"/>
    <tableColumn id="8" xr3:uid="{39E39431-7A8B-4FBB-83F9-DE9E6AFEBB13}" name="Access Level"/>
    <tableColumn id="9" xr3:uid="{59715583-7CDD-4E2F-B5AF-011F9B2F4D60}" name="Assigned User(s)"/>
    <tableColumn id="10" xr3:uid="{1873A0F6-7C73-42C5-9DDD-3ABAF238F2EC}" name="Notes"/>
    <tableColumn id="11" xr3:uid="{1154ECFC-A0D3-4F02-BB5B-48D072BC8311}" name="Log"/>
    <tableColumn id="12" xr3:uid="{D6EBDFAF-7885-48CA-8F2B-A0F1AB2F0AF6}" name="Manual"/>
    <tableColumn id="13" xr3:uid="{5EC6B982-E16C-4F9C-90E7-428DCAB5BC78}" name="Firmwar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uwoca.sharepoint.com/sites/:f:/r/sites/fast/Shared%20Documents/Equipment%20Assets?csf=1&amp;web=1&amp;e=ccUkx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woca.sharepoint.com/sites/:w:/r/sites/fast/Shared%20Documents/Equipment%20Assets/Modix_Modix%20BIG-120Z_F8_LOG.docx?d=w25a3b96b8fdd48b5af744ed3270ea6f9&amp;csf=1&amp;web=1&amp;e=QBJSrZ" TargetMode="External"/><Relationship Id="rId13" Type="http://schemas.openxmlformats.org/officeDocument/2006/relationships/hyperlink" Target="https://uwoca.sharepoint.com/sites/:w:/r/sites/fast/Shared%20Documents/Equipment%20Assets/Creality_CR-30_F16_LOG.docx?d=w6a23154051304d918d6663567fc6c6ef&amp;csf=1&amp;web=1&amp;e=JpAjpU" TargetMode="External"/><Relationship Id="rId18" Type="http://schemas.openxmlformats.org/officeDocument/2006/relationships/hyperlink" Target="https://uwoca.sharepoint.com/sites/:w:/r/sites/fast/Shared%20Documents/Equipment%20Assets/Lulzbot_Taz%206_F14_LOG.docx?d=wdd76cd4d870540149d874f98b3dc2aa2&amp;csf=1&amp;web=1&amp;e=BW3IwX" TargetMode="External"/><Relationship Id="rId3" Type="http://schemas.openxmlformats.org/officeDocument/2006/relationships/hyperlink" Target="https://uwoca.sharepoint.com/sites/:w:/r/sites/fast/Shared%20Documents/Equipment%20Assets/Lulzbot_Taz%20Workhorse%20SE_F9_LOG.docx?d=w8674be68d1d042a5b511be18b3185c46&amp;csf=1&amp;web=1&amp;e=0EgMPF" TargetMode="External"/><Relationship Id="rId21" Type="http://schemas.openxmlformats.org/officeDocument/2006/relationships/hyperlink" Target="https://uwoca.sharepoint.com/sites/:w:/r/sites/fast/Shared%20Documents/Equipment%20Assets/Lulzbot_Taz%20Pro%20Dual%20Extruder_F20_LOG.docx?d=w1f99dc2d1804490184a1f79e9b8e6343&amp;csf=1&amp;web=1&amp;e=kfHuF4" TargetMode="External"/><Relationship Id="rId7" Type="http://schemas.openxmlformats.org/officeDocument/2006/relationships/hyperlink" Target="https://uwoca.sharepoint.com/sites/:w:/r/sites/fast/Shared%20Documents/Equipment%20Assets/Modix%20_Modix%20BIG-Meter_F7_LOG.docx?d=w29f0c49da5d449f4b1a6501ec485de87&amp;csf=1&amp;web=1&amp;e=CT7ddO" TargetMode="External"/><Relationship Id="rId12" Type="http://schemas.openxmlformats.org/officeDocument/2006/relationships/hyperlink" Target="https://uwoca.sharepoint.com/sites/:w:/r/sites/fast/Shared%20Documents/Equipment%20Assets/Prusa_XL%20Five-Toolhead_F6_LOG.docx?d=w83fa9a9c08714a298cb5bc5a59c8707f&amp;csf=1&amp;web=1&amp;e=4IEii9" TargetMode="External"/><Relationship Id="rId17" Type="http://schemas.openxmlformats.org/officeDocument/2006/relationships/hyperlink" Target="https://uwoca.sharepoint.com/sites/:w:/r/sites/fast/Shared%20Documents/Equipment%20Assets/Ender_3_F18_LOG.docx?d=w0a4b2a5127844cf6892f159908551e6c&amp;csf=1&amp;web=1&amp;e=gNnq1L" TargetMode="External"/><Relationship Id="rId2" Type="http://schemas.openxmlformats.org/officeDocument/2006/relationships/hyperlink" Target="https://uwoca.sharepoint.com/sites/:w:/r/sites/fast/Shared%20Documents/Equipment%20Assets/Lulzbot_Taz%20Pro%20S_F21_LOG.docx?d=wc76403358f0f446291cf8dcd496e37cc&amp;csf=1&amp;web=1&amp;e=LYfNG3" TargetMode="External"/><Relationship Id="rId16" Type="http://schemas.openxmlformats.org/officeDocument/2006/relationships/hyperlink" Target="https://uwoca.sharepoint.com/sites/:w:/r/sites/fast/Shared%20Documents/Equipment%20Assets/DIY_RepRap%20Delta_F19_LOG.docx?d=w30bd3438fc56494b96e7ca6a7fcd5c50&amp;csf=1&amp;web=1&amp;e=5y0Bo0" TargetMode="External"/><Relationship Id="rId20" Type="http://schemas.openxmlformats.org/officeDocument/2006/relationships/hyperlink" Target="https://uwoca.sharepoint.com/sites/:w:/r/sites/fast/Shared%20Documents/Equipment%20Assets/Lulzbot_Taz%206_F13_LOG.docx?d=we9f322e1c5414a1c820f81c43566c707&amp;csf=1&amp;web=1&amp;e=zHCN2g" TargetMode="External"/><Relationship Id="rId1" Type="http://schemas.openxmlformats.org/officeDocument/2006/relationships/hyperlink" Target="https://uwoca.sharepoint.com/sites/:w:/r/sites/fast/Shared%20Documents/Equipment%20Assets/Prusa_i3%20MK3S+_F1_LOG.docx?d=w172faa0d22664fdc95d0de0ccaeb5d64&amp;csf=1&amp;web=1&amp;e=68g9v6" TargetMode="External"/><Relationship Id="rId6" Type="http://schemas.openxmlformats.org/officeDocument/2006/relationships/hyperlink" Target="https://uwoca.sharepoint.com/sites/:w:/r/sites/fast/Shared%20Documents/Equipment%20Assets/Lulzbot_Taz%20Workhorse%20SE_F12_LOG.docx?d=w53f1e033cf0645e48861a36a7ca09daf&amp;csf=1&amp;web=1&amp;e=adb7F5" TargetMode="External"/><Relationship Id="rId11" Type="http://schemas.openxmlformats.org/officeDocument/2006/relationships/hyperlink" Target="https://uwoca.sharepoint.com/sites/:w:/r/sites/fast/Shared%20Documents/Equipment%20Assets/Prusa_MK4_F5_LOG.docx?d=wa30071a74ddd4b24b3b920586eb3cf24&amp;csf=1&amp;web=1&amp;e=yK7X4L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s://uwoca.sharepoint.com/sites/:w:/r/sites/fast/Shared%20Documents/Equipment%20Assets/Lulzbot_Taz%20Workhorse%20SE_F10_LOG.docx?d=w782ac61cefec48168f01d62a0bac42f5&amp;csf=1&amp;web=1&amp;e=3qlgQV" TargetMode="External"/><Relationship Id="rId15" Type="http://schemas.openxmlformats.org/officeDocument/2006/relationships/hyperlink" Target="https://uwoca.sharepoint.com/sites/:w:/r/sites/fast/Shared%20Documents/Equipment%20Assets/Hangprinter_Version%204_F22_LOG.docx?d=w9122e08ab71d4488acf7ef78c3c5c6be&amp;csf=1&amp;web=1&amp;e=kMMLED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uwoca.sharepoint.com/sites/:w:/r/sites/fast/Shared%20Documents/Equipment%20Assets/Prusa_i3%20MK3S+_F4_LOG.docx?d=wd456fc3bb3264549b2d19b1b4933c909&amp;csf=1&amp;web=1&amp;e=3S2NuZ" TargetMode="External"/><Relationship Id="rId19" Type="http://schemas.openxmlformats.org/officeDocument/2006/relationships/hyperlink" Target="https://uwoca.sharepoint.com/sites/:w:/r/sites/fast/Shared%20Documents/Equipment%20Assets/Lulzbot_Sidekick_F15_LOG.docx?d=w11835b38d11943e795229be1e8201c3b&amp;csf=1&amp;web=1&amp;e=yhpgzv" TargetMode="External"/><Relationship Id="rId4" Type="http://schemas.openxmlformats.org/officeDocument/2006/relationships/hyperlink" Target="https://uwoca.sharepoint.com/sites/:w:/r/sites/fast/Shared%20Documents/Equipment%20Assets/Lulzbot_Taz%20Pro_F11_LOG.docx?d=w6e3d400e3e934ffcb61d606c82dc09d1&amp;csf=1&amp;web=1&amp;e=il6RAs" TargetMode="External"/><Relationship Id="rId9" Type="http://schemas.openxmlformats.org/officeDocument/2006/relationships/hyperlink" Target="https://uwoca.sharepoint.com/sites/:w:/r/sites/fast/Shared%20Documents/Equipment%20Assets/Prusa_i3%20MK3S+_F3_LOG.docx?d=w2c3cea7840f9461da195349e4c6933ab&amp;csf=1&amp;web=1&amp;e=aZlLcJ" TargetMode="External"/><Relationship Id="rId14" Type="http://schemas.openxmlformats.org/officeDocument/2006/relationships/hyperlink" Target="https://uwoca.sharepoint.com/sites/:w:/r/sites/fast/Shared%20Documents/Equipment%20Assets/Creality_Pulstruder_F17_LOG.docx?d=w2c656be176d04b3581cf30751700be64&amp;csf=1&amp;web=1&amp;e=V3Jmfj" TargetMode="External"/><Relationship Id="rId22" Type="http://schemas.openxmlformats.org/officeDocument/2006/relationships/hyperlink" Target="https://uwoca.sharepoint.com/sites/:w:/r/sites/fast/Shared%20Documents/Equipment%20Assets/Prusa_i3%20MK3S+_F2_LOG.docx?d=w7d15ab0e4a99406992c772c88d6b5658&amp;csf=1&amp;web=1&amp;e=Iac92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ppropedia.org/FAST%27s_Hangprinter_v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5206-E264-4E43-B3F4-F2478D722517}">
  <dimension ref="A1:C16"/>
  <sheetViews>
    <sheetView workbookViewId="0">
      <selection activeCell="B14" sqref="B14"/>
    </sheetView>
  </sheetViews>
  <sheetFormatPr defaultRowHeight="14.5" x14ac:dyDescent="0.35"/>
  <cols>
    <col min="1" max="1" width="25.1796875" customWidth="1"/>
    <col min="2" max="2" width="54" style="2" customWidth="1"/>
    <col min="3" max="3" width="49.54296875" customWidth="1"/>
  </cols>
  <sheetData>
    <row r="1" spans="1:3" x14ac:dyDescent="0.35">
      <c r="A1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2" t="s">
        <v>4</v>
      </c>
      <c r="C2" s="2"/>
    </row>
    <row r="3" spans="1:3" x14ac:dyDescent="0.35">
      <c r="A3" t="s">
        <v>5</v>
      </c>
      <c r="B3" s="2" t="s">
        <v>6</v>
      </c>
      <c r="C3" s="2"/>
    </row>
    <row r="4" spans="1:3" x14ac:dyDescent="0.35">
      <c r="A4" t="s">
        <v>7</v>
      </c>
      <c r="B4" s="2" t="s">
        <v>8</v>
      </c>
      <c r="C4" s="2"/>
    </row>
    <row r="5" spans="1:3" x14ac:dyDescent="0.35">
      <c r="A5" t="s">
        <v>9</v>
      </c>
      <c r="B5" s="2" t="s">
        <v>10</v>
      </c>
      <c r="C5" s="2"/>
    </row>
    <row r="6" spans="1:3" ht="29" x14ac:dyDescent="0.35">
      <c r="A6" t="s">
        <v>11</v>
      </c>
      <c r="B6" s="2" t="s">
        <v>12</v>
      </c>
      <c r="C6" s="2" t="s">
        <v>13</v>
      </c>
    </row>
    <row r="7" spans="1:3" ht="29" x14ac:dyDescent="0.35">
      <c r="A7" t="s">
        <v>14</v>
      </c>
      <c r="B7" s="2" t="s">
        <v>15</v>
      </c>
      <c r="C7" s="2" t="s">
        <v>16</v>
      </c>
    </row>
    <row r="8" spans="1:3" ht="29" x14ac:dyDescent="0.35">
      <c r="A8" t="s">
        <v>17</v>
      </c>
      <c r="B8" s="2" t="s">
        <v>18</v>
      </c>
      <c r="C8" s="2"/>
    </row>
    <row r="9" spans="1:3" ht="63" customHeight="1" x14ac:dyDescent="0.35">
      <c r="A9" t="s">
        <v>19</v>
      </c>
      <c r="B9" s="2" t="s">
        <v>20</v>
      </c>
      <c r="C9" s="2" t="s">
        <v>21</v>
      </c>
    </row>
    <row r="10" spans="1:3" ht="29" x14ac:dyDescent="0.35">
      <c r="A10" t="s">
        <v>22</v>
      </c>
      <c r="B10" s="2" t="s">
        <v>23</v>
      </c>
      <c r="C10" s="2"/>
    </row>
    <row r="11" spans="1:3" ht="29" x14ac:dyDescent="0.35">
      <c r="A11" t="s">
        <v>2</v>
      </c>
      <c r="B11" s="2" t="s">
        <v>24</v>
      </c>
      <c r="C11" s="2"/>
    </row>
    <row r="12" spans="1:3" ht="43.5" x14ac:dyDescent="0.35">
      <c r="A12" t="s">
        <v>25</v>
      </c>
      <c r="B12" s="2" t="s">
        <v>26</v>
      </c>
      <c r="C12" s="2" t="s">
        <v>27</v>
      </c>
    </row>
    <row r="13" spans="1:3" ht="29" x14ac:dyDescent="0.35">
      <c r="A13" t="s">
        <v>28</v>
      </c>
      <c r="B13" s="2" t="s">
        <v>29</v>
      </c>
      <c r="C13" s="2" t="s">
        <v>27</v>
      </c>
    </row>
    <row r="14" spans="1:3" ht="29" x14ac:dyDescent="0.35">
      <c r="A14" t="s">
        <v>30</v>
      </c>
      <c r="B14" s="2" t="s">
        <v>31</v>
      </c>
      <c r="C14" s="2" t="s">
        <v>27</v>
      </c>
    </row>
    <row r="16" spans="1:3" ht="16" x14ac:dyDescent="0.4">
      <c r="A16" s="3" t="s">
        <v>32</v>
      </c>
      <c r="B16" s="4" t="s">
        <v>33</v>
      </c>
    </row>
  </sheetData>
  <hyperlinks>
    <hyperlink ref="B16" r:id="rId1" display="https://uwoca.sharepoint.com/:f:/r/sites/fast/Shared%20Documents/Equipment%20Assets?csf=1&amp;web=1&amp;e=ccUkxf" xr:uid="{4712F2E9-0DE8-4F97-9ED8-DE3D1F7C763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F1" workbookViewId="0">
      <selection activeCell="P2" sqref="P2:P23"/>
    </sheetView>
  </sheetViews>
  <sheetFormatPr defaultRowHeight="14.5" x14ac:dyDescent="0.35"/>
  <cols>
    <col min="1" max="1" width="5.26953125" customWidth="1"/>
    <col min="2" max="2" width="19" customWidth="1"/>
    <col min="3" max="3" width="10.26953125" customWidth="1"/>
    <col min="4" max="4" width="16.81640625" customWidth="1"/>
    <col min="5" max="6" width="20.7265625" customWidth="1"/>
    <col min="7" max="7" width="18.453125" customWidth="1"/>
    <col min="8" max="8" width="14.7265625" customWidth="1"/>
    <col min="9" max="9" width="18.26953125" customWidth="1"/>
    <col min="10" max="10" width="32.26953125" customWidth="1"/>
    <col min="11" max="13" width="8.7265625" customWidth="1"/>
    <col min="16" max="16" width="8.7265625" customWidth="1"/>
  </cols>
  <sheetData>
    <row r="1" spans="1:16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185</v>
      </c>
      <c r="J1" s="1" t="s">
        <v>2</v>
      </c>
      <c r="K1" s="1" t="s">
        <v>25</v>
      </c>
      <c r="L1" s="1" t="s">
        <v>28</v>
      </c>
      <c r="M1" s="1" t="s">
        <v>30</v>
      </c>
      <c r="O1" t="s">
        <v>183</v>
      </c>
      <c r="P1" t="s">
        <v>184</v>
      </c>
    </row>
    <row r="2" spans="1:16" x14ac:dyDescent="0.35">
      <c r="A2" t="s">
        <v>34</v>
      </c>
      <c r="B2" t="s">
        <v>35</v>
      </c>
      <c r="C2" t="s">
        <v>36</v>
      </c>
      <c r="D2" t="s">
        <v>37</v>
      </c>
      <c r="F2" t="s">
        <v>38</v>
      </c>
      <c r="G2" t="s">
        <v>39</v>
      </c>
      <c r="H2" t="s">
        <v>40</v>
      </c>
      <c r="I2" t="s">
        <v>41</v>
      </c>
      <c r="K2" s="5" t="s">
        <v>42</v>
      </c>
      <c r="L2" t="s">
        <v>43</v>
      </c>
      <c r="M2" t="s">
        <v>43</v>
      </c>
      <c r="O2" t="str">
        <f xml:space="preserve"> Table1[[#This Row],[Make]]&amp;"_"&amp;Table1[[#This Row],[Model]]&amp;"_"&amp;Table1[[#This Row],[ID]]&amp;"_"&amp;"LOG"</f>
        <v>Prusa_i3 MK3S+_F1_LOG</v>
      </c>
      <c r="P2" t="str">
        <f xml:space="preserve"> Table1[[#This Row],[Make]]&amp;"_"&amp;Table1[[#This Row],[Model]]&amp;"_"&amp;Table1[[#This Row],[ID]]&amp;CHAR(10)&amp;"Assigned to:  "&amp;Table1[[#This Row],[Assigned User]]</f>
        <v>Prusa_i3 MK3S+_F1
Assigned to:  Janik Abdullayev</v>
      </c>
    </row>
    <row r="3" spans="1:16" x14ac:dyDescent="0.35">
      <c r="A3" t="s">
        <v>44</v>
      </c>
      <c r="B3" t="s">
        <v>45</v>
      </c>
      <c r="C3" t="s">
        <v>36</v>
      </c>
      <c r="D3" t="s">
        <v>37</v>
      </c>
      <c r="G3" t="s">
        <v>39</v>
      </c>
      <c r="H3" t="s">
        <v>40</v>
      </c>
      <c r="I3" t="s">
        <v>46</v>
      </c>
      <c r="J3" t="s">
        <v>47</v>
      </c>
      <c r="K3" s="5" t="s">
        <v>48</v>
      </c>
      <c r="L3" t="s">
        <v>43</v>
      </c>
      <c r="M3" t="s">
        <v>43</v>
      </c>
      <c r="O3" t="str">
        <f xml:space="preserve"> Table1[[#This Row],[Make]]&amp;"_"&amp;Table1[[#This Row],[Model]]&amp;"_"&amp;Table1[[#This Row],[ID]]&amp;"_"&amp;"LOG"</f>
        <v>Prusa_i3 MK3S+_F2_LOG</v>
      </c>
      <c r="P3" t="str">
        <f xml:space="preserve"> Table1[[#This Row],[Make]]&amp;"_"&amp;Table1[[#This Row],[Model]]&amp;"_"&amp;Table1[[#This Row],[ID]]&amp;CHAR(10)&amp;"Assigned to:  "&amp;Table1[[#This Row],[Assigned User]]</f>
        <v>Prusa_i3 MK3S+_F2
Assigned to:  Maryam Mottaghi</v>
      </c>
    </row>
    <row r="4" spans="1:16" x14ac:dyDescent="0.35">
      <c r="A4" t="s">
        <v>49</v>
      </c>
      <c r="B4" t="s">
        <v>50</v>
      </c>
      <c r="C4" t="s">
        <v>36</v>
      </c>
      <c r="D4" t="s">
        <v>37</v>
      </c>
      <c r="G4" t="s">
        <v>51</v>
      </c>
      <c r="H4" t="s">
        <v>40</v>
      </c>
      <c r="I4" t="s">
        <v>52</v>
      </c>
      <c r="J4" t="s">
        <v>53</v>
      </c>
      <c r="K4" s="5" t="s">
        <v>54</v>
      </c>
      <c r="L4" t="s">
        <v>43</v>
      </c>
      <c r="M4" t="s">
        <v>43</v>
      </c>
      <c r="O4" t="str">
        <f xml:space="preserve"> Table1[[#This Row],[Make]]&amp;"_"&amp;Table1[[#This Row],[Model]]&amp;"_"&amp;Table1[[#This Row],[ID]]&amp;"_"&amp;"LOG"</f>
        <v>Prusa_i3 MK3S+_F3_LOG</v>
      </c>
      <c r="P4" t="str">
        <f xml:space="preserve"> Table1[[#This Row],[Make]]&amp;"_"&amp;Table1[[#This Row],[Model]]&amp;"_"&amp;Table1[[#This Row],[ID]]&amp;CHAR(10)&amp;"Assigned to:  "&amp;Table1[[#This Row],[Assigned User]]</f>
        <v>Prusa_i3 MK3S+_F3
Assigned to:  Troy Leishman</v>
      </c>
    </row>
    <row r="5" spans="1:16" x14ac:dyDescent="0.35">
      <c r="A5" t="s">
        <v>55</v>
      </c>
      <c r="B5" t="s">
        <v>56</v>
      </c>
      <c r="C5" t="s">
        <v>36</v>
      </c>
      <c r="D5" t="s">
        <v>37</v>
      </c>
      <c r="G5" t="s">
        <v>57</v>
      </c>
      <c r="H5" t="s">
        <v>40</v>
      </c>
      <c r="I5" t="s">
        <v>58</v>
      </c>
      <c r="J5" t="s">
        <v>59</v>
      </c>
      <c r="K5" s="5" t="s">
        <v>60</v>
      </c>
      <c r="L5" t="s">
        <v>43</v>
      </c>
      <c r="M5" t="s">
        <v>43</v>
      </c>
      <c r="O5" t="str">
        <f xml:space="preserve"> Table1[[#This Row],[Make]]&amp;"_"&amp;Table1[[#This Row],[Model]]&amp;"_"&amp;Table1[[#This Row],[ID]]&amp;"_"&amp;"LOG"</f>
        <v>Prusa_i3 MK3S+_F4_LOG</v>
      </c>
      <c r="P5" t="str">
        <f xml:space="preserve"> Table1[[#This Row],[Make]]&amp;"_"&amp;Table1[[#This Row],[Model]]&amp;"_"&amp;Table1[[#This Row],[ID]]&amp;CHAR(10)&amp;"Assigned to:  "&amp;Table1[[#This Row],[Assigned User]]</f>
        <v>Prusa_i3 MK3S+_F4
Assigned to:  Victor Zhang</v>
      </c>
    </row>
    <row r="6" spans="1:16" x14ac:dyDescent="0.35">
      <c r="A6" t="s">
        <v>61</v>
      </c>
      <c r="B6" t="s">
        <v>62</v>
      </c>
      <c r="C6" t="s">
        <v>36</v>
      </c>
      <c r="D6" t="s">
        <v>62</v>
      </c>
      <c r="G6" t="s">
        <v>63</v>
      </c>
      <c r="H6" t="s">
        <v>40</v>
      </c>
      <c r="I6" t="s">
        <v>64</v>
      </c>
      <c r="J6" t="s">
        <v>65</v>
      </c>
      <c r="K6" s="5" t="s">
        <v>66</v>
      </c>
      <c r="L6" t="s">
        <v>43</v>
      </c>
      <c r="M6" t="s">
        <v>43</v>
      </c>
      <c r="O6" t="str">
        <f xml:space="preserve"> Table1[[#This Row],[Make]]&amp;"_"&amp;Table1[[#This Row],[Model]]&amp;"_"&amp;Table1[[#This Row],[ID]]&amp;"_"&amp;"LOG"</f>
        <v>Prusa_MK4_F5_LOG</v>
      </c>
      <c r="P6" t="str">
        <f xml:space="preserve"> Table1[[#This Row],[Make]]&amp;"_"&amp;Table1[[#This Row],[Model]]&amp;"_"&amp;Table1[[#This Row],[ID]]&amp;CHAR(10)&amp;"Assigned to:  "&amp;Table1[[#This Row],[Assigned User]]</f>
        <v>Prusa_MK4_F5
Assigned to:  Cameron Brooks</v>
      </c>
    </row>
    <row r="7" spans="1:16" x14ac:dyDescent="0.35">
      <c r="A7" t="s">
        <v>67</v>
      </c>
      <c r="B7" t="s">
        <v>68</v>
      </c>
      <c r="C7" t="s">
        <v>36</v>
      </c>
      <c r="D7" t="s">
        <v>69</v>
      </c>
      <c r="G7" t="s">
        <v>39</v>
      </c>
      <c r="H7" t="s">
        <v>70</v>
      </c>
      <c r="I7" t="s">
        <v>64</v>
      </c>
      <c r="K7" s="5" t="s">
        <v>71</v>
      </c>
      <c r="L7" t="s">
        <v>43</v>
      </c>
      <c r="M7" t="s">
        <v>43</v>
      </c>
      <c r="O7" t="str">
        <f xml:space="preserve"> Table1[[#This Row],[Make]]&amp;"_"&amp;Table1[[#This Row],[Model]]&amp;"_"&amp;Table1[[#This Row],[ID]]&amp;"_"&amp;"LOG"</f>
        <v>Prusa_XL Five-Toolhead_F6_LOG</v>
      </c>
      <c r="P7" t="str">
        <f xml:space="preserve"> Table1[[#This Row],[Make]]&amp;"_"&amp;Table1[[#This Row],[Model]]&amp;"_"&amp;Table1[[#This Row],[ID]]&amp;CHAR(10)&amp;"Assigned to:  "&amp;Table1[[#This Row],[Assigned User]]</f>
        <v>Prusa_XL Five-Toolhead_F6
Assigned to:  Cameron Brooks</v>
      </c>
    </row>
    <row r="8" spans="1:16" x14ac:dyDescent="0.35">
      <c r="A8" t="s">
        <v>72</v>
      </c>
      <c r="B8" t="s">
        <v>73</v>
      </c>
      <c r="C8" t="s">
        <v>74</v>
      </c>
      <c r="D8" t="s">
        <v>75</v>
      </c>
      <c r="G8" t="s">
        <v>39</v>
      </c>
      <c r="H8" t="s">
        <v>70</v>
      </c>
      <c r="I8" t="s">
        <v>64</v>
      </c>
      <c r="K8" s="5" t="s">
        <v>76</v>
      </c>
      <c r="L8" t="s">
        <v>43</v>
      </c>
      <c r="M8" t="s">
        <v>43</v>
      </c>
      <c r="O8" t="str">
        <f xml:space="preserve"> Table1[[#This Row],[Make]]&amp;"_"&amp;Table1[[#This Row],[Model]]&amp;"_"&amp;Table1[[#This Row],[ID]]&amp;"_"&amp;"LOG"</f>
        <v>Modix _Modix BIG-Meter_F7_LOG</v>
      </c>
      <c r="P8" t="str">
        <f xml:space="preserve"> Table1[[#This Row],[Make]]&amp;"_"&amp;Table1[[#This Row],[Model]]&amp;"_"&amp;Table1[[#This Row],[ID]]&amp;CHAR(10)&amp;"Assigned to:  "&amp;Table1[[#This Row],[Assigned User]]</f>
        <v>Modix _Modix BIG-Meter_F7
Assigned to:  Cameron Brooks</v>
      </c>
    </row>
    <row r="9" spans="1:16" x14ac:dyDescent="0.35">
      <c r="A9" t="s">
        <v>77</v>
      </c>
      <c r="B9" t="s">
        <v>78</v>
      </c>
      <c r="C9" t="s">
        <v>79</v>
      </c>
      <c r="D9" t="s">
        <v>80</v>
      </c>
      <c r="G9" t="s">
        <v>39</v>
      </c>
      <c r="H9" t="s">
        <v>70</v>
      </c>
      <c r="I9" t="s">
        <v>64</v>
      </c>
      <c r="K9" s="5" t="s">
        <v>81</v>
      </c>
      <c r="L9" t="s">
        <v>43</v>
      </c>
      <c r="M9" t="s">
        <v>43</v>
      </c>
      <c r="O9" t="str">
        <f xml:space="preserve"> Table1[[#This Row],[Make]]&amp;"_"&amp;Table1[[#This Row],[Model]]&amp;"_"&amp;Table1[[#This Row],[ID]]&amp;"_"&amp;"LOG"</f>
        <v>Modix_Modix BIG-120Z_F8_LOG</v>
      </c>
      <c r="P9" t="str">
        <f xml:space="preserve"> Table1[[#This Row],[Make]]&amp;"_"&amp;Table1[[#This Row],[Model]]&amp;"_"&amp;Table1[[#This Row],[ID]]&amp;CHAR(10)&amp;"Assigned to:  "&amp;Table1[[#This Row],[Assigned User]]</f>
        <v>Modix_Modix BIG-120Z_F8
Assigned to:  Cameron Brooks</v>
      </c>
    </row>
    <row r="10" spans="1:16" x14ac:dyDescent="0.35">
      <c r="A10" t="s">
        <v>82</v>
      </c>
      <c r="B10" t="s">
        <v>83</v>
      </c>
      <c r="C10" t="s">
        <v>84</v>
      </c>
      <c r="D10" t="s">
        <v>85</v>
      </c>
      <c r="F10" t="s">
        <v>86</v>
      </c>
      <c r="G10" t="s">
        <v>51</v>
      </c>
      <c r="H10" t="s">
        <v>87</v>
      </c>
      <c r="I10" t="s">
        <v>88</v>
      </c>
      <c r="J10" t="s">
        <v>89</v>
      </c>
      <c r="K10" s="5" t="s">
        <v>90</v>
      </c>
      <c r="L10" t="s">
        <v>43</v>
      </c>
      <c r="M10" t="s">
        <v>43</v>
      </c>
      <c r="O10" t="str">
        <f xml:space="preserve"> Table1[[#This Row],[Make]]&amp;"_"&amp;Table1[[#This Row],[Model]]&amp;"_"&amp;Table1[[#This Row],[ID]]&amp;"_"&amp;"LOG"</f>
        <v>Lulzbot_Taz Workhorse SE_F9_LOG</v>
      </c>
      <c r="P10" t="str">
        <f xml:space="preserve"> Table1[[#This Row],[Make]]&amp;"_"&amp;Table1[[#This Row],[Model]]&amp;"_"&amp;Table1[[#This Row],[ID]]&amp;CHAR(10)&amp;"Assigned to:  "&amp;Table1[[#This Row],[Assigned User]]</f>
        <v>Lulzbot_Taz Workhorse SE_F9
Assigned to:  Ian Van den Steen</v>
      </c>
    </row>
    <row r="11" spans="1:16" x14ac:dyDescent="0.35">
      <c r="A11" t="s">
        <v>91</v>
      </c>
      <c r="B11" t="s">
        <v>92</v>
      </c>
      <c r="C11" t="s">
        <v>84</v>
      </c>
      <c r="D11" t="s">
        <v>85</v>
      </c>
      <c r="F11" t="s">
        <v>93</v>
      </c>
      <c r="G11" t="s">
        <v>39</v>
      </c>
      <c r="H11" t="s">
        <v>87</v>
      </c>
      <c r="I11" t="s">
        <v>94</v>
      </c>
      <c r="K11" s="5" t="s">
        <v>95</v>
      </c>
      <c r="L11" t="s">
        <v>43</v>
      </c>
      <c r="M11" t="s">
        <v>43</v>
      </c>
      <c r="O11" t="str">
        <f xml:space="preserve"> Table1[[#This Row],[Make]]&amp;"_"&amp;Table1[[#This Row],[Model]]&amp;"_"&amp;Table1[[#This Row],[ID]]&amp;"_"&amp;"LOG"</f>
        <v>Lulzbot_Taz Workhorse SE_F10_LOG</v>
      </c>
      <c r="P11" t="str">
        <f xml:space="preserve"> Table1[[#This Row],[Make]]&amp;"_"&amp;Table1[[#This Row],[Model]]&amp;"_"&amp;Table1[[#This Row],[ID]]&amp;CHAR(10)&amp;"Assigned to:  "&amp;Table1[[#This Row],[Assigned User]]</f>
        <v>Lulzbot_Taz Workhorse SE_F10
Assigned to:  Dawei Liu</v>
      </c>
    </row>
    <row r="12" spans="1:16" x14ac:dyDescent="0.35">
      <c r="A12" t="s">
        <v>96</v>
      </c>
      <c r="B12" t="s">
        <v>97</v>
      </c>
      <c r="C12" t="s">
        <v>84</v>
      </c>
      <c r="D12" t="s">
        <v>98</v>
      </c>
      <c r="G12" t="s">
        <v>51</v>
      </c>
      <c r="H12" t="s">
        <v>87</v>
      </c>
      <c r="I12" t="s">
        <v>99</v>
      </c>
      <c r="J12" t="s">
        <v>100</v>
      </c>
      <c r="K12" s="5" t="s">
        <v>101</v>
      </c>
      <c r="L12" t="s">
        <v>43</v>
      </c>
      <c r="M12" t="s">
        <v>43</v>
      </c>
      <c r="O12" t="str">
        <f xml:space="preserve"> Table1[[#This Row],[Make]]&amp;"_"&amp;Table1[[#This Row],[Model]]&amp;"_"&amp;Table1[[#This Row],[ID]]&amp;"_"&amp;"LOG"</f>
        <v>Lulzbot_Taz Pro_F11_LOG</v>
      </c>
      <c r="P12" t="str">
        <f xml:space="preserve"> Table1[[#This Row],[Make]]&amp;"_"&amp;Table1[[#This Row],[Model]]&amp;"_"&amp;Table1[[#This Row],[ID]]&amp;CHAR(10)&amp;"Assigned to:  "&amp;Table1[[#This Row],[Assigned User]]</f>
        <v>Lulzbot_Taz Pro_F11
Assigned to:  Joshua Givans</v>
      </c>
    </row>
    <row r="13" spans="1:16" x14ac:dyDescent="0.35">
      <c r="A13" t="s">
        <v>102</v>
      </c>
      <c r="B13" t="s">
        <v>103</v>
      </c>
      <c r="C13" t="s">
        <v>84</v>
      </c>
      <c r="D13" t="s">
        <v>85</v>
      </c>
      <c r="F13" t="s">
        <v>86</v>
      </c>
      <c r="G13" t="s">
        <v>51</v>
      </c>
      <c r="H13" t="s">
        <v>87</v>
      </c>
      <c r="I13" t="s">
        <v>104</v>
      </c>
      <c r="J13" t="s">
        <v>105</v>
      </c>
      <c r="K13" s="5" t="s">
        <v>106</v>
      </c>
      <c r="L13" t="s">
        <v>43</v>
      </c>
      <c r="M13" t="s">
        <v>43</v>
      </c>
      <c r="O13" t="str">
        <f xml:space="preserve"> Table1[[#This Row],[Make]]&amp;"_"&amp;Table1[[#This Row],[Model]]&amp;"_"&amp;Table1[[#This Row],[ID]]&amp;"_"&amp;"LOG"</f>
        <v>Lulzbot_Taz Workhorse SE_F12_LOG</v>
      </c>
      <c r="P13" t="str">
        <f xml:space="preserve"> Table1[[#This Row],[Make]]&amp;"_"&amp;Table1[[#This Row],[Model]]&amp;"_"&amp;Table1[[#This Row],[ID]]&amp;CHAR(10)&amp;"Assigned to:  "&amp;Table1[[#This Row],[Assigned User]]</f>
        <v>Lulzbot_Taz Workhorse SE_F12
Assigned to:  Max Qian</v>
      </c>
    </row>
    <row r="14" spans="1:16" x14ac:dyDescent="0.35">
      <c r="A14" t="s">
        <v>107</v>
      </c>
      <c r="B14" t="s">
        <v>108</v>
      </c>
      <c r="C14" t="s">
        <v>84</v>
      </c>
      <c r="D14" t="s">
        <v>109</v>
      </c>
      <c r="G14" t="s">
        <v>110</v>
      </c>
      <c r="H14" t="s">
        <v>87</v>
      </c>
      <c r="I14" t="s">
        <v>111</v>
      </c>
      <c r="K14" s="5" t="s">
        <v>112</v>
      </c>
      <c r="L14" t="s">
        <v>43</v>
      </c>
      <c r="M14" t="s">
        <v>43</v>
      </c>
      <c r="O14" t="str">
        <f xml:space="preserve"> Table1[[#This Row],[Make]]&amp;"_"&amp;Table1[[#This Row],[Model]]&amp;"_"&amp;Table1[[#This Row],[ID]]&amp;"_"&amp;"LOG"</f>
        <v>Lulzbot_Taz 6_F13_LOG</v>
      </c>
      <c r="P14" t="str">
        <f xml:space="preserve"> Table1[[#This Row],[Make]]&amp;"_"&amp;Table1[[#This Row],[Model]]&amp;"_"&amp;Table1[[#This Row],[ID]]&amp;CHAR(10)&amp;"Assigned to:  "&amp;Table1[[#This Row],[Assigned User]]</f>
        <v>Lulzbot_Taz 6_F13
Assigned to:  Justin Zheng</v>
      </c>
    </row>
    <row r="15" spans="1:16" x14ac:dyDescent="0.35">
      <c r="A15" t="s">
        <v>113</v>
      </c>
      <c r="B15" t="s">
        <v>114</v>
      </c>
      <c r="C15" t="s">
        <v>84</v>
      </c>
      <c r="D15" t="s">
        <v>109</v>
      </c>
      <c r="G15" t="s">
        <v>110</v>
      </c>
      <c r="H15" t="s">
        <v>87</v>
      </c>
      <c r="I15" t="s">
        <v>115</v>
      </c>
      <c r="K15" s="5" t="s">
        <v>116</v>
      </c>
      <c r="L15" t="s">
        <v>43</v>
      </c>
      <c r="M15" t="s">
        <v>43</v>
      </c>
      <c r="O15" t="str">
        <f xml:space="preserve"> Table1[[#This Row],[Make]]&amp;"_"&amp;Table1[[#This Row],[Model]]&amp;"_"&amp;Table1[[#This Row],[ID]]&amp;"_"&amp;"LOG"</f>
        <v>Lulzbot_Taz 6_F14_LOG</v>
      </c>
      <c r="P15" t="str">
        <f xml:space="preserve"> Table1[[#This Row],[Make]]&amp;"_"&amp;Table1[[#This Row],[Model]]&amp;"_"&amp;Table1[[#This Row],[ID]]&amp;CHAR(10)&amp;"Assigned to:  "&amp;Table1[[#This Row],[Assigned User]]</f>
        <v>Lulzbot_Taz 6_F14
Assigned to:  Liam Freeman</v>
      </c>
    </row>
    <row r="16" spans="1:16" x14ac:dyDescent="0.35">
      <c r="A16" t="s">
        <v>117</v>
      </c>
      <c r="B16" t="s">
        <v>118</v>
      </c>
      <c r="C16" t="s">
        <v>84</v>
      </c>
      <c r="D16" t="s">
        <v>119</v>
      </c>
      <c r="G16" t="s">
        <v>39</v>
      </c>
      <c r="H16" t="s">
        <v>40</v>
      </c>
      <c r="I16" t="s">
        <v>64</v>
      </c>
      <c r="K16" s="5" t="s">
        <v>120</v>
      </c>
      <c r="L16" t="s">
        <v>43</v>
      </c>
      <c r="M16" t="s">
        <v>43</v>
      </c>
      <c r="O16" t="str">
        <f xml:space="preserve"> Table1[[#This Row],[Make]]&amp;"_"&amp;Table1[[#This Row],[Model]]&amp;"_"&amp;Table1[[#This Row],[ID]]&amp;"_"&amp;"LOG"</f>
        <v>Lulzbot_Sidekick_F15_LOG</v>
      </c>
      <c r="P16" t="str">
        <f xml:space="preserve"> Table1[[#This Row],[Make]]&amp;"_"&amp;Table1[[#This Row],[Model]]&amp;"_"&amp;Table1[[#This Row],[ID]]&amp;CHAR(10)&amp;"Assigned to:  "&amp;Table1[[#This Row],[Assigned User]]</f>
        <v>Lulzbot_Sidekick_F15
Assigned to:  Cameron Brooks</v>
      </c>
    </row>
    <row r="17" spans="1:16" x14ac:dyDescent="0.35">
      <c r="A17" t="s">
        <v>121</v>
      </c>
      <c r="B17" t="s">
        <v>122</v>
      </c>
      <c r="C17" t="s">
        <v>123</v>
      </c>
      <c r="D17" t="s">
        <v>124</v>
      </c>
      <c r="G17" t="s">
        <v>110</v>
      </c>
      <c r="H17" t="s">
        <v>70</v>
      </c>
      <c r="I17" t="s">
        <v>52</v>
      </c>
      <c r="K17" s="5" t="s">
        <v>125</v>
      </c>
      <c r="L17" t="s">
        <v>43</v>
      </c>
      <c r="M17" t="s">
        <v>43</v>
      </c>
      <c r="O17" t="str">
        <f xml:space="preserve"> Table1[[#This Row],[Make]]&amp;"_"&amp;Table1[[#This Row],[Model]]&amp;"_"&amp;Table1[[#This Row],[ID]]&amp;"_"&amp;"LOG"</f>
        <v>Creality_CR-30_F16_LOG</v>
      </c>
      <c r="P17" t="str">
        <f xml:space="preserve"> Table1[[#This Row],[Make]]&amp;"_"&amp;Table1[[#This Row],[Model]]&amp;"_"&amp;Table1[[#This Row],[ID]]&amp;CHAR(10)&amp;"Assigned to:  "&amp;Table1[[#This Row],[Assigned User]]</f>
        <v>Creality_CR-30_F16
Assigned to:  Troy Leishman</v>
      </c>
    </row>
    <row r="18" spans="1:16" x14ac:dyDescent="0.35">
      <c r="A18" t="s">
        <v>126</v>
      </c>
      <c r="B18" t="s">
        <v>127</v>
      </c>
      <c r="C18" t="s">
        <v>123</v>
      </c>
      <c r="D18" t="s">
        <v>128</v>
      </c>
      <c r="G18" t="s">
        <v>110</v>
      </c>
      <c r="H18" t="s">
        <v>70</v>
      </c>
      <c r="I18" t="s">
        <v>64</v>
      </c>
      <c r="K18" s="5" t="s">
        <v>129</v>
      </c>
      <c r="L18" t="s">
        <v>43</v>
      </c>
      <c r="M18" t="s">
        <v>43</v>
      </c>
      <c r="O18" t="str">
        <f xml:space="preserve"> Table1[[#This Row],[Make]]&amp;"_"&amp;Table1[[#This Row],[Model]]&amp;"_"&amp;Table1[[#This Row],[ID]]&amp;"_"&amp;"LOG"</f>
        <v>Creality_Pulstruder_F17_LOG</v>
      </c>
      <c r="P18" t="str">
        <f xml:space="preserve"> Table1[[#This Row],[Make]]&amp;"_"&amp;Table1[[#This Row],[Model]]&amp;"_"&amp;Table1[[#This Row],[ID]]&amp;CHAR(10)&amp;"Assigned to:  "&amp;Table1[[#This Row],[Assigned User]]</f>
        <v>Creality_Pulstruder_F17
Assigned to:  Cameron Brooks</v>
      </c>
    </row>
    <row r="19" spans="1:16" x14ac:dyDescent="0.35">
      <c r="A19" t="s">
        <v>130</v>
      </c>
      <c r="B19" t="s">
        <v>131</v>
      </c>
      <c r="C19" t="s">
        <v>132</v>
      </c>
      <c r="D19">
        <v>3</v>
      </c>
      <c r="G19" t="s">
        <v>110</v>
      </c>
      <c r="H19" t="s">
        <v>87</v>
      </c>
      <c r="I19" t="s">
        <v>58</v>
      </c>
      <c r="J19" t="s">
        <v>133</v>
      </c>
      <c r="K19" s="5" t="s">
        <v>134</v>
      </c>
      <c r="L19" t="s">
        <v>43</v>
      </c>
      <c r="M19" t="s">
        <v>43</v>
      </c>
      <c r="O19" t="str">
        <f xml:space="preserve"> Table1[[#This Row],[Make]]&amp;"_"&amp;Table1[[#This Row],[Model]]&amp;"_"&amp;Table1[[#This Row],[ID]]&amp;"_"&amp;"LOG"</f>
        <v>Ender_3_F18_LOG</v>
      </c>
      <c r="P19" t="str">
        <f xml:space="preserve"> Table1[[#This Row],[Make]]&amp;"_"&amp;Table1[[#This Row],[Model]]&amp;"_"&amp;Table1[[#This Row],[ID]]&amp;CHAR(10)&amp;"Assigned to:  "&amp;Table1[[#This Row],[Assigned User]]</f>
        <v>Ender_3_F18
Assigned to:  Victor Zhang</v>
      </c>
    </row>
    <row r="20" spans="1:16" x14ac:dyDescent="0.35">
      <c r="A20" t="s">
        <v>135</v>
      </c>
      <c r="B20" t="s">
        <v>136</v>
      </c>
      <c r="C20" t="s">
        <v>137</v>
      </c>
      <c r="D20" t="s">
        <v>138</v>
      </c>
      <c r="G20" t="s">
        <v>63</v>
      </c>
      <c r="H20" t="s">
        <v>87</v>
      </c>
      <c r="I20" t="s">
        <v>139</v>
      </c>
      <c r="J20" t="s">
        <v>140</v>
      </c>
      <c r="K20" s="5" t="s">
        <v>141</v>
      </c>
      <c r="L20" t="s">
        <v>43</v>
      </c>
      <c r="M20" t="s">
        <v>43</v>
      </c>
      <c r="O20" t="str">
        <f xml:space="preserve"> Table1[[#This Row],[Make]]&amp;"_"&amp;Table1[[#This Row],[Model]]&amp;"_"&amp;Table1[[#This Row],[ID]]&amp;"_"&amp;"LOG"</f>
        <v>DIY_RepRap Delta_F19_LOG</v>
      </c>
      <c r="P20" t="str">
        <f xml:space="preserve"> Table1[[#This Row],[Make]]&amp;"_"&amp;Table1[[#This Row],[Model]]&amp;"_"&amp;Table1[[#This Row],[ID]]&amp;CHAR(10)&amp;"Assigned to:  "&amp;Table1[[#This Row],[Assigned User]]</f>
        <v>DIY_RepRap Delta_F19
Assigned to:  None</v>
      </c>
    </row>
    <row r="21" spans="1:16" x14ac:dyDescent="0.35">
      <c r="A21" t="s">
        <v>142</v>
      </c>
      <c r="B21" t="s">
        <v>143</v>
      </c>
      <c r="C21" t="s">
        <v>84</v>
      </c>
      <c r="D21" t="s">
        <v>144</v>
      </c>
      <c r="G21" t="s">
        <v>110</v>
      </c>
      <c r="H21" t="s">
        <v>87</v>
      </c>
      <c r="I21" t="s">
        <v>104</v>
      </c>
      <c r="K21" s="5" t="s">
        <v>145</v>
      </c>
      <c r="L21" t="s">
        <v>43</v>
      </c>
      <c r="M21" t="s">
        <v>43</v>
      </c>
      <c r="O21" t="str">
        <f xml:space="preserve"> Table1[[#This Row],[Make]]&amp;"_"&amp;Table1[[#This Row],[Model]]&amp;"_"&amp;Table1[[#This Row],[ID]]&amp;"_"&amp;"LOG"</f>
        <v>Lulzbot_Taz Pro Dual Extruder_F20_LOG</v>
      </c>
      <c r="P21" t="str">
        <f xml:space="preserve"> Table1[[#This Row],[Make]]&amp;"_"&amp;Table1[[#This Row],[Model]]&amp;"_"&amp;Table1[[#This Row],[ID]]&amp;CHAR(10)&amp;"Assigned to:  "&amp;Table1[[#This Row],[Assigned User]]</f>
        <v>Lulzbot_Taz Pro Dual Extruder_F20
Assigned to:  Max Qian</v>
      </c>
    </row>
    <row r="22" spans="1:16" x14ac:dyDescent="0.35">
      <c r="A22" t="s">
        <v>146</v>
      </c>
      <c r="B22" t="s">
        <v>147</v>
      </c>
      <c r="C22" t="s">
        <v>84</v>
      </c>
      <c r="D22" t="s">
        <v>148</v>
      </c>
      <c r="G22" t="s">
        <v>110</v>
      </c>
      <c r="H22" t="s">
        <v>87</v>
      </c>
      <c r="I22" t="s">
        <v>104</v>
      </c>
      <c r="K22" s="5" t="s">
        <v>149</v>
      </c>
      <c r="L22" t="s">
        <v>43</v>
      </c>
      <c r="M22" t="s">
        <v>43</v>
      </c>
      <c r="O22" t="str">
        <f xml:space="preserve"> Table1[[#This Row],[Make]]&amp;"_"&amp;Table1[[#This Row],[Model]]&amp;"_"&amp;Table1[[#This Row],[ID]]&amp;"_"&amp;"LOG"</f>
        <v>Lulzbot_Taz Pro S_F21_LOG</v>
      </c>
      <c r="P22" t="str">
        <f xml:space="preserve"> Table1[[#This Row],[Make]]&amp;"_"&amp;Table1[[#This Row],[Model]]&amp;"_"&amp;Table1[[#This Row],[ID]]&amp;CHAR(10)&amp;"Assigned to:  "&amp;Table1[[#This Row],[Assigned User]]</f>
        <v>Lulzbot_Taz Pro S_F21
Assigned to:  Max Qian</v>
      </c>
    </row>
    <row r="23" spans="1:16" x14ac:dyDescent="0.35">
      <c r="A23" t="s">
        <v>150</v>
      </c>
      <c r="B23" t="s">
        <v>151</v>
      </c>
      <c r="C23" t="s">
        <v>152</v>
      </c>
      <c r="D23" t="s">
        <v>153</v>
      </c>
      <c r="G23" t="s">
        <v>51</v>
      </c>
      <c r="H23" t="s">
        <v>70</v>
      </c>
      <c r="I23" t="s">
        <v>154</v>
      </c>
      <c r="K23" s="5" t="s">
        <v>155</v>
      </c>
      <c r="L23" t="s">
        <v>43</v>
      </c>
      <c r="M23" t="s">
        <v>43</v>
      </c>
      <c r="O23" t="str">
        <f xml:space="preserve"> Table1[[#This Row],[Make]]&amp;"_"&amp;Table1[[#This Row],[Model]]&amp;"_"&amp;Table1[[#This Row],[ID]]&amp;"_"&amp;"LOG"</f>
        <v>Hangprinter_Version 4_F22_LOG</v>
      </c>
      <c r="P23" t="str">
        <f xml:space="preserve"> Table1[[#This Row],[Make]]&amp;"_"&amp;Table1[[#This Row],[Model]]&amp;"_"&amp;Table1[[#This Row],[ID]]&amp;CHAR(10)&amp;"Assigned to:  "&amp;Table1[[#This Row],[Assigned User]]</f>
        <v>Hangprinter_Version 4_F22
Assigned to:  Janik Abdullayev, Troy Leishman, Ravneet Rattan</v>
      </c>
    </row>
  </sheetData>
  <phoneticPr fontId="1" type="noConversion"/>
  <conditionalFormatting sqref="G2:G1048576">
    <cfRule type="expression" dxfId="39" priority="4">
      <formula>$G2="Missing"</formula>
    </cfRule>
    <cfRule type="expression" dxfId="38" priority="5">
      <formula>$G2="Good"</formula>
    </cfRule>
    <cfRule type="expression" dxfId="37" priority="6">
      <formula>$G2="Unknown"</formula>
    </cfRule>
    <cfRule type="expression" dxfId="36" priority="7">
      <formula>$G2="Needs Maintainance"</formula>
    </cfRule>
    <cfRule type="expression" dxfId="35" priority="8">
      <formula>$G2="Broken"</formula>
    </cfRule>
  </conditionalFormatting>
  <conditionalFormatting sqref="H2:H1048576">
    <cfRule type="expression" dxfId="34" priority="1">
      <formula>$H2="General"</formula>
    </cfRule>
    <cfRule type="expression" dxfId="33" priority="2">
      <formula>$H2="Specialty"</formula>
    </cfRule>
    <cfRule type="expression" dxfId="32" priority="3">
      <formula>$H2="Restricted"</formula>
    </cfRule>
  </conditionalFormatting>
  <dataValidations disablePrompts="1" count="3">
    <dataValidation type="list" allowBlank="1" showInputMessage="1" showErrorMessage="1" sqref="E14" xr:uid="{A0992096-F7EE-4CBC-A98F-6AEE72E02C90}">
      <formula1>"Good, Working, Needs Maintainance, Broken, Missing, Unknown"</formula1>
    </dataValidation>
    <dataValidation type="list" allowBlank="1" showInputMessage="1" showErrorMessage="1" sqref="G2:G1048576" xr:uid="{E3531DA4-2C19-4F27-A138-90E38C081038}">
      <formula1>"Good, Needs Maintainance, Broken, Missing, Unknown"</formula1>
    </dataValidation>
    <dataValidation type="list" allowBlank="1" showInputMessage="1" showErrorMessage="1" sqref="H2:H1048576" xr:uid="{F082C7CF-1AFA-4D57-AD7B-36FA4ED66C79}">
      <formula1>"General, Restricted, Specialty"</formula1>
    </dataValidation>
  </dataValidations>
  <hyperlinks>
    <hyperlink ref="K2" r:id="rId1" xr:uid="{F3151FE4-1CBA-42C9-8DCD-1A086CFD15EE}"/>
    <hyperlink ref="K22" r:id="rId2" xr:uid="{31A187AB-4CB2-455E-8DF9-28DBD4335C50}"/>
    <hyperlink ref="K10" r:id="rId3" xr:uid="{B69C8A17-6D07-45AA-882F-281BBB6732AD}"/>
    <hyperlink ref="K12" r:id="rId4" xr:uid="{8308B412-A647-4F0C-B41B-F29C18F56B08}"/>
    <hyperlink ref="K11" r:id="rId5" xr:uid="{1BC4AB17-E46F-4AB8-99DF-B79AFD9F9C43}"/>
    <hyperlink ref="K13" r:id="rId6" xr:uid="{91AF63A7-41A0-44A8-95CE-11290839612C}"/>
    <hyperlink ref="K8" r:id="rId7" xr:uid="{39FB6D1B-C67C-4C8B-9BD1-1EA4574582E7}"/>
    <hyperlink ref="K9" r:id="rId8" xr:uid="{7CCD5FD4-BEAF-4C32-9ED5-57467F72B4F7}"/>
    <hyperlink ref="K4" r:id="rId9" xr:uid="{E973E7FD-4729-485E-BB96-72679D51CA91}"/>
    <hyperlink ref="K5" r:id="rId10" xr:uid="{C81AF971-72BB-4EB3-B338-CCDD87854140}"/>
    <hyperlink ref="K6" r:id="rId11" xr:uid="{5E18B96F-C0CE-4103-9377-CCA7E3ADD23C}"/>
    <hyperlink ref="K7" r:id="rId12" xr:uid="{EA95286C-759A-4ED6-A3A2-AA7B31B35E90}"/>
    <hyperlink ref="K17" r:id="rId13" xr:uid="{4BB6F6F0-873C-4334-9EAA-E024AD6B9935}"/>
    <hyperlink ref="K18" r:id="rId14" xr:uid="{2A040E44-5C5E-464D-9CB9-39ADAC24FDF8}"/>
    <hyperlink ref="K23" r:id="rId15" xr:uid="{4CEDE022-4296-41D8-8698-F51DB15B6CAB}"/>
    <hyperlink ref="K20" r:id="rId16" xr:uid="{7FE9F7B6-541F-4A0C-ACDF-CC749D5DD88F}"/>
    <hyperlink ref="K19" r:id="rId17" xr:uid="{14C7BA02-4F41-4C38-AAEB-92430F25A2EF}"/>
    <hyperlink ref="K15" r:id="rId18" xr:uid="{4FDF1FB5-305F-43CD-A884-38A485C5A5F5}"/>
    <hyperlink ref="K16" r:id="rId19" xr:uid="{66772F39-8C38-4F76-AA46-CEC74725B1BD}"/>
    <hyperlink ref="K14" r:id="rId20" xr:uid="{C88913C7-083D-4399-82FB-2165449A43D8}"/>
    <hyperlink ref="K21" r:id="rId21" xr:uid="{C6FAD51C-8BB2-4BDA-BD29-969613D95E7A}"/>
    <hyperlink ref="K3" r:id="rId22" xr:uid="{1EF44266-6DC5-4973-886E-D8D8CCC9C9E6}"/>
  </hyperlinks>
  <pageMargins left="0.7" right="0.7" top="0.75" bottom="0.75" header="0.3" footer="0.3"/>
  <pageSetup orientation="portrait" r:id="rId23"/>
  <tableParts count="1"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C196-2F9F-4396-B900-75671534CFA1}">
  <dimension ref="A1:M5"/>
  <sheetViews>
    <sheetView workbookViewId="0">
      <selection activeCell="H9" sqref="H9"/>
    </sheetView>
  </sheetViews>
  <sheetFormatPr defaultRowHeight="14.5" x14ac:dyDescent="0.35"/>
  <cols>
    <col min="1" max="1" width="5.26953125" customWidth="1"/>
    <col min="2" max="2" width="19" customWidth="1"/>
    <col min="3" max="3" width="10.26953125" customWidth="1"/>
    <col min="4" max="4" width="16.81640625" customWidth="1"/>
    <col min="5" max="6" width="20.7265625" customWidth="1"/>
    <col min="7" max="7" width="18.453125" customWidth="1"/>
    <col min="8" max="8" width="14.7265625" customWidth="1"/>
    <col min="9" max="9" width="18.26953125" customWidth="1"/>
    <col min="10" max="10" width="20.7265625" customWidth="1"/>
    <col min="11" max="11" width="8.7265625" customWidth="1"/>
    <col min="12" max="12" width="9.54296875" customWidth="1"/>
    <col min="13" max="13" width="11.453125" customWidth="1"/>
  </cols>
  <sheetData>
    <row r="1" spans="1:13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</v>
      </c>
      <c r="K1" s="1" t="s">
        <v>25</v>
      </c>
      <c r="L1" s="1" t="s">
        <v>28</v>
      </c>
      <c r="M1" s="1" t="s">
        <v>30</v>
      </c>
    </row>
    <row r="2" spans="1:13" x14ac:dyDescent="0.35">
      <c r="A2" t="s">
        <v>156</v>
      </c>
      <c r="B2" t="s">
        <v>157</v>
      </c>
      <c r="C2" t="s">
        <v>36</v>
      </c>
      <c r="D2" t="s">
        <v>158</v>
      </c>
      <c r="G2" t="s">
        <v>110</v>
      </c>
      <c r="H2" t="s">
        <v>70</v>
      </c>
      <c r="K2" t="s">
        <v>43</v>
      </c>
      <c r="L2" t="s">
        <v>43</v>
      </c>
      <c r="M2" t="s">
        <v>43</v>
      </c>
    </row>
    <row r="3" spans="1:13" x14ac:dyDescent="0.35">
      <c r="A3" t="s">
        <v>159</v>
      </c>
      <c r="B3" t="s">
        <v>157</v>
      </c>
      <c r="C3" t="s">
        <v>36</v>
      </c>
      <c r="D3" t="s">
        <v>158</v>
      </c>
      <c r="G3" t="s">
        <v>110</v>
      </c>
      <c r="H3" t="s">
        <v>70</v>
      </c>
    </row>
    <row r="4" spans="1:13" x14ac:dyDescent="0.35">
      <c r="A4" t="s">
        <v>160</v>
      </c>
      <c r="B4" t="s">
        <v>161</v>
      </c>
      <c r="C4" t="s">
        <v>36</v>
      </c>
      <c r="D4" t="s">
        <v>162</v>
      </c>
      <c r="G4" t="s">
        <v>110</v>
      </c>
      <c r="H4" t="s">
        <v>70</v>
      </c>
    </row>
    <row r="5" spans="1:13" x14ac:dyDescent="0.35">
      <c r="A5" t="s">
        <v>163</v>
      </c>
      <c r="G5" t="s">
        <v>110</v>
      </c>
      <c r="H5" t="s">
        <v>70</v>
      </c>
    </row>
  </sheetData>
  <phoneticPr fontId="1" type="noConversion"/>
  <conditionalFormatting sqref="G2:G1048576">
    <cfRule type="expression" dxfId="31" priority="4">
      <formula>$G2="Missing"</formula>
    </cfRule>
    <cfRule type="expression" dxfId="30" priority="5">
      <formula>$G2="Good"</formula>
    </cfRule>
    <cfRule type="expression" dxfId="29" priority="6">
      <formula>$G2="Unknown"</formula>
    </cfRule>
    <cfRule type="expression" dxfId="28" priority="7">
      <formula>$G2="Needs Maintainance"</formula>
    </cfRule>
    <cfRule type="expression" dxfId="27" priority="8">
      <formula>$G2="Broken"</formula>
    </cfRule>
  </conditionalFormatting>
  <conditionalFormatting sqref="H2:H1048576">
    <cfRule type="expression" dxfId="26" priority="1">
      <formula>$H2="General"</formula>
    </cfRule>
    <cfRule type="expression" dxfId="25" priority="2">
      <formula>$H2="Specialty"</formula>
    </cfRule>
    <cfRule type="expression" dxfId="24" priority="3">
      <formula>$H2="Restricted"</formula>
    </cfRule>
  </conditionalFormatting>
  <dataValidations count="3">
    <dataValidation type="list" allowBlank="1" showInputMessage="1" showErrorMessage="1" sqref="H2:H1048576" xr:uid="{71BEEC4A-998D-4F52-9CF1-2F9DAC9BB434}">
      <formula1>"General, Restricted, Specialty"</formula1>
    </dataValidation>
    <dataValidation type="list" allowBlank="1" showInputMessage="1" showErrorMessage="1" sqref="G2:G1048576" xr:uid="{10A3ECC4-4930-4A19-B5B0-61EE3726AE07}">
      <formula1>"Good, Needs Maintainance, Broken, Missing, Unknown"</formula1>
    </dataValidation>
    <dataValidation type="list" allowBlank="1" showInputMessage="1" showErrorMessage="1" sqref="E14" xr:uid="{CD9945E9-8F4D-4507-99C3-B2C3547C0272}">
      <formula1>"Good, Working, Needs Maintainance, Broken, Missing, 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A2BD-BE31-4DA2-AD9A-9580182E9AF8}">
  <dimension ref="A1:M4"/>
  <sheetViews>
    <sheetView workbookViewId="0">
      <selection activeCell="I2" sqref="I2"/>
    </sheetView>
  </sheetViews>
  <sheetFormatPr defaultRowHeight="14.5" x14ac:dyDescent="0.35"/>
  <cols>
    <col min="1" max="1" width="5.26953125" customWidth="1"/>
    <col min="2" max="2" width="19" customWidth="1"/>
    <col min="3" max="3" width="11.26953125" bestFit="1" customWidth="1"/>
    <col min="4" max="4" width="16.81640625" customWidth="1"/>
    <col min="5" max="6" width="20.7265625" customWidth="1"/>
    <col min="7" max="7" width="18.453125" customWidth="1"/>
    <col min="8" max="8" width="14.7265625" customWidth="1"/>
    <col min="9" max="9" width="18.26953125" customWidth="1"/>
    <col min="10" max="10" width="20.7265625" customWidth="1"/>
    <col min="12" max="12" width="9.54296875" customWidth="1"/>
    <col min="13" max="13" width="11.453125" customWidth="1"/>
  </cols>
  <sheetData>
    <row r="1" spans="1:13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</v>
      </c>
      <c r="K1" s="1" t="s">
        <v>25</v>
      </c>
      <c r="L1" s="1" t="s">
        <v>28</v>
      </c>
      <c r="M1" s="1" t="s">
        <v>30</v>
      </c>
    </row>
    <row r="2" spans="1:13" x14ac:dyDescent="0.35">
      <c r="A2" t="s">
        <v>164</v>
      </c>
      <c r="B2" t="s">
        <v>165</v>
      </c>
      <c r="G2" t="s">
        <v>51</v>
      </c>
      <c r="H2" t="s">
        <v>70</v>
      </c>
      <c r="K2" t="s">
        <v>43</v>
      </c>
      <c r="L2" t="s">
        <v>43</v>
      </c>
      <c r="M2" t="s">
        <v>43</v>
      </c>
    </row>
    <row r="3" spans="1:13" x14ac:dyDescent="0.35">
      <c r="A3" t="s">
        <v>166</v>
      </c>
      <c r="B3" t="s">
        <v>167</v>
      </c>
      <c r="G3" t="s">
        <v>51</v>
      </c>
      <c r="H3" t="s">
        <v>70</v>
      </c>
    </row>
    <row r="4" spans="1:13" x14ac:dyDescent="0.35">
      <c r="A4" t="s">
        <v>168</v>
      </c>
      <c r="B4" t="s">
        <v>169</v>
      </c>
      <c r="C4" t="s">
        <v>152</v>
      </c>
      <c r="D4" t="s">
        <v>170</v>
      </c>
      <c r="G4" t="s">
        <v>51</v>
      </c>
      <c r="H4" t="s">
        <v>70</v>
      </c>
      <c r="I4" t="s">
        <v>41</v>
      </c>
      <c r="K4" s="5" t="s">
        <v>171</v>
      </c>
    </row>
  </sheetData>
  <phoneticPr fontId="1" type="noConversion"/>
  <conditionalFormatting sqref="G2:G1048576">
    <cfRule type="expression" dxfId="23" priority="4">
      <formula>$G2="Missing"</formula>
    </cfRule>
    <cfRule type="expression" dxfId="22" priority="5">
      <formula>$G2="Good"</formula>
    </cfRule>
    <cfRule type="expression" dxfId="21" priority="6">
      <formula>$G2="Unknown"</formula>
    </cfRule>
    <cfRule type="expression" dxfId="20" priority="7">
      <formula>$G2="Needs Maintainance"</formula>
    </cfRule>
    <cfRule type="expression" dxfId="19" priority="8">
      <formula>$G2="Broken"</formula>
    </cfRule>
  </conditionalFormatting>
  <conditionalFormatting sqref="H2:H1048576">
    <cfRule type="expression" dxfId="18" priority="1">
      <formula>$H2="General"</formula>
    </cfRule>
    <cfRule type="expression" dxfId="17" priority="2">
      <formula>$H2="Specialty"</formula>
    </cfRule>
    <cfRule type="expression" dxfId="16" priority="3">
      <formula>$H2="Restricted"</formula>
    </cfRule>
  </conditionalFormatting>
  <dataValidations count="3">
    <dataValidation type="list" allowBlank="1" showInputMessage="1" showErrorMessage="1" sqref="H2:H1048576" xr:uid="{BC668F22-27FD-4F6C-A909-5DDA4CA900D5}">
      <formula1>"General, Restricted, Specialty"</formula1>
    </dataValidation>
    <dataValidation type="list" allowBlank="1" showInputMessage="1" showErrorMessage="1" sqref="G2:G1048576" xr:uid="{C311DC19-5614-4603-A1C3-0421893B1606}">
      <formula1>"Good, Needs Maintainance, Broken, Missing, Unknown"</formula1>
    </dataValidation>
    <dataValidation type="list" allowBlank="1" showInputMessage="1" showErrorMessage="1" sqref="E14" xr:uid="{59B79BEE-4455-46A2-9199-058C1025EE4A}">
      <formula1>"Good, Working, Needs Maintainance, Broken, Missing, Unknown"</formula1>
    </dataValidation>
  </dataValidations>
  <hyperlinks>
    <hyperlink ref="K4" r:id="rId1" xr:uid="{150792FE-D144-488A-998F-30993248FFD1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D9FD-2A17-4FAA-9A8D-5FBB89E889A9}">
  <dimension ref="A1:M6"/>
  <sheetViews>
    <sheetView workbookViewId="0">
      <selection activeCell="A7" sqref="A7"/>
    </sheetView>
  </sheetViews>
  <sheetFormatPr defaultRowHeight="14.5" x14ac:dyDescent="0.35"/>
  <cols>
    <col min="1" max="1" width="5.26953125" customWidth="1"/>
    <col min="2" max="2" width="19" customWidth="1"/>
    <col min="3" max="3" width="10.26953125" customWidth="1"/>
    <col min="4" max="4" width="16.81640625" customWidth="1"/>
    <col min="5" max="6" width="20.7265625" customWidth="1"/>
    <col min="7" max="7" width="18.453125" customWidth="1"/>
    <col min="8" max="8" width="14.7265625" customWidth="1"/>
    <col min="9" max="9" width="18.26953125" customWidth="1"/>
    <col min="10" max="10" width="20.7265625" customWidth="1"/>
    <col min="12" max="12" width="9.54296875" customWidth="1"/>
    <col min="13" max="13" width="11.453125" customWidth="1"/>
  </cols>
  <sheetData>
    <row r="1" spans="1:13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</v>
      </c>
      <c r="K1" s="1" t="s">
        <v>25</v>
      </c>
      <c r="L1" s="1" t="s">
        <v>28</v>
      </c>
      <c r="M1" s="1" t="s">
        <v>30</v>
      </c>
    </row>
    <row r="2" spans="1:13" x14ac:dyDescent="0.35">
      <c r="A2" t="s">
        <v>172</v>
      </c>
      <c r="K2" t="s">
        <v>43</v>
      </c>
      <c r="L2" t="s">
        <v>43</v>
      </c>
      <c r="M2" t="s">
        <v>173</v>
      </c>
    </row>
    <row r="3" spans="1:13" x14ac:dyDescent="0.35">
      <c r="A3" t="s">
        <v>174</v>
      </c>
    </row>
    <row r="4" spans="1:13" x14ac:dyDescent="0.35">
      <c r="A4" t="s">
        <v>175</v>
      </c>
    </row>
    <row r="5" spans="1:13" x14ac:dyDescent="0.35">
      <c r="A5" t="s">
        <v>176</v>
      </c>
    </row>
    <row r="6" spans="1:13" x14ac:dyDescent="0.35">
      <c r="A6" t="s">
        <v>177</v>
      </c>
    </row>
  </sheetData>
  <phoneticPr fontId="1" type="noConversion"/>
  <conditionalFormatting sqref="G2:G1048576">
    <cfRule type="expression" dxfId="15" priority="4">
      <formula>$G2="Missing"</formula>
    </cfRule>
    <cfRule type="expression" dxfId="14" priority="5">
      <formula>$G2="Good"</formula>
    </cfRule>
    <cfRule type="expression" dxfId="13" priority="6">
      <formula>$G2="Unknown"</formula>
    </cfRule>
    <cfRule type="expression" dxfId="12" priority="7">
      <formula>$G2="Needs Maintainance"</formula>
    </cfRule>
    <cfRule type="expression" dxfId="11" priority="8">
      <formula>$G2="Broken"</formula>
    </cfRule>
  </conditionalFormatting>
  <conditionalFormatting sqref="H2:H1048576">
    <cfRule type="expression" dxfId="10" priority="1">
      <formula>$H2="General"</formula>
    </cfRule>
    <cfRule type="expression" dxfId="9" priority="2">
      <formula>$H2="Specialty"</formula>
    </cfRule>
    <cfRule type="expression" dxfId="8" priority="3">
      <formula>$H2="Restricted"</formula>
    </cfRule>
  </conditionalFormatting>
  <dataValidations count="3">
    <dataValidation type="list" allowBlank="1" showInputMessage="1" showErrorMessage="1" sqref="H2:H1048576" xr:uid="{1E8E0F52-3B29-4015-ABE1-943568810645}">
      <formula1>"General, Restricted, Specialty"</formula1>
    </dataValidation>
    <dataValidation type="list" allowBlank="1" showInputMessage="1" showErrorMessage="1" sqref="G2:G1048576" xr:uid="{F180DD35-54A6-48DF-9AAB-762D6C59BA6E}">
      <formula1>"Good, Needs Maintainance, Broken, Missing, Unknown"</formula1>
    </dataValidation>
    <dataValidation type="list" allowBlank="1" showInputMessage="1" showErrorMessage="1" sqref="E14" xr:uid="{7730EAFA-5518-4C22-BBD0-61A798B973A8}">
      <formula1>"Good, Working, Needs Maintainance, Broken, Missing, Unknown"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2EE4-EBD5-4DE8-8593-D4CBB7E84560}">
  <dimension ref="A1:M6"/>
  <sheetViews>
    <sheetView workbookViewId="0">
      <selection activeCell="D18" sqref="D18"/>
    </sheetView>
  </sheetViews>
  <sheetFormatPr defaultRowHeight="14.5" x14ac:dyDescent="0.35"/>
  <cols>
    <col min="1" max="1" width="5.26953125" customWidth="1"/>
    <col min="2" max="2" width="19" customWidth="1"/>
    <col min="3" max="3" width="10.26953125" customWidth="1"/>
    <col min="4" max="4" width="16.81640625" customWidth="1"/>
    <col min="5" max="6" width="20.7265625" customWidth="1"/>
    <col min="7" max="7" width="18.453125" customWidth="1"/>
    <col min="8" max="8" width="14.7265625" customWidth="1"/>
    <col min="9" max="9" width="18.26953125" customWidth="1"/>
    <col min="10" max="10" width="20.7265625" customWidth="1"/>
    <col min="12" max="12" width="9.54296875" customWidth="1"/>
    <col min="13" max="13" width="11.453125" customWidth="1"/>
  </cols>
  <sheetData>
    <row r="1" spans="1:13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14</v>
      </c>
      <c r="G1" s="1" t="s">
        <v>17</v>
      </c>
      <c r="H1" s="1" t="s">
        <v>19</v>
      </c>
      <c r="I1" s="1" t="s">
        <v>22</v>
      </c>
      <c r="J1" s="1" t="s">
        <v>2</v>
      </c>
      <c r="K1" s="1" t="s">
        <v>25</v>
      </c>
      <c r="L1" s="1" t="s">
        <v>28</v>
      </c>
      <c r="M1" s="1" t="s">
        <v>30</v>
      </c>
    </row>
    <row r="2" spans="1:13" x14ac:dyDescent="0.35">
      <c r="A2" t="s">
        <v>178</v>
      </c>
      <c r="K2" t="s">
        <v>43</v>
      </c>
      <c r="L2" t="s">
        <v>43</v>
      </c>
      <c r="M2" t="s">
        <v>173</v>
      </c>
    </row>
    <row r="3" spans="1:13" x14ac:dyDescent="0.35">
      <c r="A3" t="s">
        <v>179</v>
      </c>
    </row>
    <row r="4" spans="1:13" x14ac:dyDescent="0.35">
      <c r="A4" t="s">
        <v>180</v>
      </c>
    </row>
    <row r="5" spans="1:13" x14ac:dyDescent="0.35">
      <c r="A5" t="s">
        <v>181</v>
      </c>
    </row>
    <row r="6" spans="1:13" x14ac:dyDescent="0.35">
      <c r="A6" t="s">
        <v>182</v>
      </c>
    </row>
  </sheetData>
  <phoneticPr fontId="1" type="noConversion"/>
  <conditionalFormatting sqref="G2:G1048576">
    <cfRule type="expression" dxfId="7" priority="4">
      <formula>$G2="Missing"</formula>
    </cfRule>
    <cfRule type="expression" dxfId="6" priority="5">
      <formula>$G2="Good"</formula>
    </cfRule>
    <cfRule type="expression" dxfId="5" priority="6">
      <formula>$G2="Unknown"</formula>
    </cfRule>
    <cfRule type="expression" dxfId="4" priority="7">
      <formula>$G2="Needs Maintainance"</formula>
    </cfRule>
    <cfRule type="expression" dxfId="3" priority="8">
      <formula>$G2="Broken"</formula>
    </cfRule>
  </conditionalFormatting>
  <conditionalFormatting sqref="H2:H1048576">
    <cfRule type="expression" dxfId="2" priority="1">
      <formula>$H2="General"</formula>
    </cfRule>
    <cfRule type="expression" dxfId="1" priority="2">
      <formula>$H2="Specialty"</formula>
    </cfRule>
    <cfRule type="expression" dxfId="0" priority="3">
      <formula>$H2="Restricted"</formula>
    </cfRule>
  </conditionalFormatting>
  <dataValidations count="3">
    <dataValidation type="list" allowBlank="1" showInputMessage="1" showErrorMessage="1" sqref="E14" xr:uid="{ED06532B-7BD7-4455-99D3-69E56696F972}">
      <formula1>"Good, Working, Needs Maintainance, Broken, Missing, Unknown"</formula1>
    </dataValidation>
    <dataValidation type="list" allowBlank="1" showInputMessage="1" showErrorMessage="1" sqref="G2:G1048576" xr:uid="{2F0C8EC3-7C0A-4BC6-974A-60BB3AE73A56}">
      <formula1>"Good, Needs Maintainance, Broken, Missing, Unknown"</formula1>
    </dataValidation>
    <dataValidation type="list" allowBlank="1" showInputMessage="1" showErrorMessage="1" sqref="H2:H1048576" xr:uid="{E27534A3-4134-4769-AF2D-CFD878408122}">
      <formula1>"General, Restricted, Specialty"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589F8B9536044E9568982FB4EA7917" ma:contentTypeVersion="6" ma:contentTypeDescription="Create a new document." ma:contentTypeScope="" ma:versionID="694d8f5f9aaf31f2a0d9d7881f7d45d1">
  <xsd:schema xmlns:xsd="http://www.w3.org/2001/XMLSchema" xmlns:xs="http://www.w3.org/2001/XMLSchema" xmlns:p="http://schemas.microsoft.com/office/2006/metadata/properties" xmlns:ns2="15812d25-64ee-442f-8687-a06a57c530fa" xmlns:ns3="ca3374e8-3215-4314-ad77-732dc13f8a8d" targetNamespace="http://schemas.microsoft.com/office/2006/metadata/properties" ma:root="true" ma:fieldsID="95ac6f838ea0959d9291e46adf5d59b2" ns2:_="" ns3:_="">
    <xsd:import namespace="15812d25-64ee-442f-8687-a06a57c530fa"/>
    <xsd:import namespace="ca3374e8-3215-4314-ad77-732dc13f8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12d25-64ee-442f-8687-a06a57c5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74e8-3215-4314-ad77-732dc13f8a8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73D0E2-6AD9-4CF5-B158-A7D1DC70EC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812d25-64ee-442f-8687-a06a57c530fa"/>
    <ds:schemaRef ds:uri="ca3374e8-3215-4314-ad77-732dc13f8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6FDAA-70B3-4C04-8366-9FA00EA40D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A99EFB-7DED-4153-BF55-13F2BCB3CA50}">
  <ds:schemaRefs>
    <ds:schemaRef ds:uri="http://schemas.openxmlformats.org/package/2006/metadata/core-properties"/>
    <ds:schemaRef ds:uri="ca3374e8-3215-4314-ad77-732dc13f8a8d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15812d25-64ee-442f-8687-a06a57c530f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FFF Printers</vt:lpstr>
      <vt:lpstr>VPP Printers</vt:lpstr>
      <vt:lpstr>FPF Printers</vt:lpstr>
      <vt:lpstr>Hand Tools</vt:lpstr>
      <vt:lpstr>Stationary Tools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Cameron Brooks</dc:creator>
  <cp:keywords/>
  <dc:description/>
  <cp:lastModifiedBy>Cameron Brooks</cp:lastModifiedBy>
  <cp:revision/>
  <dcterms:created xsi:type="dcterms:W3CDTF">2024-05-08T20:40:09Z</dcterms:created>
  <dcterms:modified xsi:type="dcterms:W3CDTF">2024-05-28T16:15:49Z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0x0101008C589F8B9536044E9568982FB4EA7917</vt:lpwstr>
  </property>
</Properties>
</file>